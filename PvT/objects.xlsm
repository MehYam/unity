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120" yWindow="90" windowWidth="19065" windowHeight="8835"/>
  </bookViews>
  <sheets>
    <sheet name="planesAndAmmo" sheetId="1" r:id="rId1"/>
    <sheet name="weapons" sheetId="2" r:id="rId2"/>
    <sheet name="hulls" sheetId="3" r:id="rId3"/>
    <sheet name="turrets" sheetId="4" r:id="rId4"/>
  </sheets>
  <calcPr calcId="145621"/>
</workbook>
</file>

<file path=xl/calcChain.xml><?xml version="1.0" encoding="utf-8"?>
<calcChain xmlns="http://schemas.openxmlformats.org/spreadsheetml/2006/main">
  <c r="H12" i="1" l="1"/>
  <c r="H4" i="1" l="1"/>
  <c r="H5" i="1"/>
  <c r="H3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H16" i="1"/>
  <c r="H15" i="1"/>
  <c r="H14" i="1"/>
  <c r="H13" i="1"/>
  <c r="H11" i="1"/>
  <c r="H10" i="1"/>
  <c r="H9" i="1"/>
  <c r="H6" i="1"/>
  <c r="H2" i="1"/>
</calcChain>
</file>

<file path=xl/comments1.xml><?xml version="1.0" encoding="utf-8"?>
<comments xmlns="http://schemas.openxmlformats.org/spreadsheetml/2006/main">
  <authors>
    <author>Kai</author>
  </authors>
  <commentList>
    <comment ref="H8" authorId="0">
      <text>
        <r>
          <rPr>
            <b/>
            <sz val="9"/>
            <color indexed="81"/>
            <rFont val="Tahoma"/>
            <family val="2"/>
          </rPr>
          <t>Kai:</t>
        </r>
        <r>
          <rPr>
            <sz val="9"/>
            <color indexed="81"/>
            <rFont val="Tahoma"/>
            <family val="2"/>
          </rPr>
          <t xml:space="preserve">
Overridden the formula so that Heroling gives no damage when colliding</t>
        </r>
      </text>
    </comment>
  </commentList>
</comments>
</file>

<file path=xl/sharedStrings.xml><?xml version="1.0" encoding="utf-8"?>
<sst xmlns="http://schemas.openxmlformats.org/spreadsheetml/2006/main" count="333" uniqueCount="125">
  <si>
    <t>BEE2</t>
  </si>
  <si>
    <t>ship2_0_0</t>
  </si>
  <si>
    <t>BEE3</t>
  </si>
  <si>
    <t>ship2_0_1</t>
  </si>
  <si>
    <t>GHOST2</t>
  </si>
  <si>
    <t>ship2_6_0</t>
  </si>
  <si>
    <t>CYGNUS2</t>
  </si>
  <si>
    <t>ship2_5_0</t>
  </si>
  <si>
    <t>CYGNUS3</t>
  </si>
  <si>
    <t>ship2_5_1</t>
  </si>
  <si>
    <t>MOTH</t>
  </si>
  <si>
    <t>ship2_7</t>
  </si>
  <si>
    <t>BAT</t>
  </si>
  <si>
    <t>ship2_2</t>
  </si>
  <si>
    <t>BEE</t>
  </si>
  <si>
    <t>ship2_0</t>
  </si>
  <si>
    <t>ROCINANTE2</t>
  </si>
  <si>
    <t>ship2_10_1</t>
  </si>
  <si>
    <t>ROCINANTE</t>
  </si>
  <si>
    <t>ship2_10</t>
  </si>
  <si>
    <t>OSPREY</t>
  </si>
  <si>
    <t>ship2_3</t>
  </si>
  <si>
    <t>GHOST3</t>
  </si>
  <si>
    <t>ship2_6_1</t>
  </si>
  <si>
    <t>GREENK2</t>
  </si>
  <si>
    <t>ship2_1_0</t>
  </si>
  <si>
    <t>CYGNUS</t>
  </si>
  <si>
    <t>ship2_5</t>
  </si>
  <si>
    <t>OSPREY2</t>
  </si>
  <si>
    <t>ship2_3_0</t>
  </si>
  <si>
    <t>OSPREY3</t>
  </si>
  <si>
    <t>ship2_3_1</t>
  </si>
  <si>
    <t>PIKE</t>
  </si>
  <si>
    <t>ship2_11_1</t>
  </si>
  <si>
    <t>ESOX</t>
  </si>
  <si>
    <t>ship2_11_2</t>
  </si>
  <si>
    <t>FLY</t>
  </si>
  <si>
    <t>ship2_4</t>
  </si>
  <si>
    <t>BLUEK</t>
  </si>
  <si>
    <t>ship2_1_1</t>
  </si>
  <si>
    <t>PIKE0</t>
  </si>
  <si>
    <t>ship2_11</t>
  </si>
  <si>
    <t>FLY3</t>
  </si>
  <si>
    <t>ship2_4_1</t>
  </si>
  <si>
    <t>GREENK</t>
  </si>
  <si>
    <t>ship2_1</t>
  </si>
  <si>
    <t>MOTH2</t>
  </si>
  <si>
    <t>ship2_7_0</t>
  </si>
  <si>
    <t>STEALTH</t>
  </si>
  <si>
    <t>ship2_9_1</t>
  </si>
  <si>
    <t>BAT2</t>
  </si>
  <si>
    <t>ship2_2_0</t>
  </si>
  <si>
    <t>BAT3</t>
  </si>
  <si>
    <t>ship2_2_1</t>
  </si>
  <si>
    <t>HERO</t>
  </si>
  <si>
    <t>hero</t>
  </si>
  <si>
    <t>GHOST</t>
  </si>
  <si>
    <t>ship2_6</t>
  </si>
  <si>
    <t>OSPREY3_C</t>
  </si>
  <si>
    <t>BULLET</t>
  </si>
  <si>
    <t>bullet</t>
  </si>
  <si>
    <t>SHIELD</t>
  </si>
  <si>
    <t>shield</t>
  </si>
  <si>
    <t>LASER</t>
  </si>
  <si>
    <t>laser</t>
  </si>
  <si>
    <t>ROCKET</t>
  </si>
  <si>
    <t>rocket</t>
  </si>
  <si>
    <t>HEROLING</t>
  </si>
  <si>
    <t>heroling</t>
  </si>
  <si>
    <t>CANNONROUND0</t>
  </si>
  <si>
    <t>cannonround0</t>
  </si>
  <si>
    <t>CANNONROUND1</t>
  </si>
  <si>
    <t>cannonround1</t>
  </si>
  <si>
    <t>FUSION</t>
  </si>
  <si>
    <t>fusionBlast</t>
  </si>
  <si>
    <t>name</t>
  </si>
  <si>
    <t>asset</t>
  </si>
  <si>
    <t>mass</t>
  </si>
  <si>
    <t>speed</t>
  </si>
  <si>
    <t>health</t>
  </si>
  <si>
    <t>accel</t>
  </si>
  <si>
    <t>inertia</t>
  </si>
  <si>
    <t>collision</t>
  </si>
  <si>
    <t>owner</t>
  </si>
  <si>
    <t>type</t>
  </si>
  <si>
    <t>damage</t>
  </si>
  <si>
    <t>offsetX</t>
  </si>
  <si>
    <t>offsetY</t>
  </si>
  <si>
    <t>angle</t>
  </si>
  <si>
    <t>level</t>
  </si>
  <si>
    <t>tankhull1</t>
  </si>
  <si>
    <t>tankhull2</t>
  </si>
  <si>
    <t>tankhull3</t>
  </si>
  <si>
    <t>tankhull4</t>
  </si>
  <si>
    <t>tankhull0</t>
  </si>
  <si>
    <t>turretPivotY</t>
  </si>
  <si>
    <t>tankturret2</t>
  </si>
  <si>
    <t>tankturret3</t>
  </si>
  <si>
    <t>tankturret4</t>
  </si>
  <si>
    <t>tankturret0</t>
  </si>
  <si>
    <t>tankturret1</t>
  </si>
  <si>
    <t>pivotY</t>
  </si>
  <si>
    <t>unused</t>
  </si>
  <si>
    <t>ROCINANTE3</t>
  </si>
  <si>
    <t>SHIP2_10_2</t>
  </si>
  <si>
    <t>RAVEN</t>
  </si>
  <si>
    <t>RAVEN2</t>
  </si>
  <si>
    <t>RAVEN3</t>
  </si>
  <si>
    <t>ship2_12</t>
  </si>
  <si>
    <t>ship2_12_1</t>
  </si>
  <si>
    <t>ship2_12_0</t>
  </si>
  <si>
    <t>FLY2</t>
  </si>
  <si>
    <t>ship2_4_0</t>
  </si>
  <si>
    <t>MOTH3</t>
  </si>
  <si>
    <t>ship2_7_1</t>
  </si>
  <si>
    <t>ship2_9_2</t>
  </si>
  <si>
    <t>STEALTH2</t>
  </si>
  <si>
    <t>BULLET2</t>
  </si>
  <si>
    <t>bullet2</t>
  </si>
  <si>
    <t>BULLET1</t>
  </si>
  <si>
    <t>bullet1</t>
  </si>
  <si>
    <t>rate</t>
  </si>
  <si>
    <t>sequence</t>
  </si>
  <si>
    <t>ROCKET2</t>
  </si>
  <si>
    <t>rocket2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</si>
</sst>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"/>
  </numFmts>
  <fonts count="7" x14ac:knownFonts="1">
    <font>
      <sz val="11"/>
      <color theme="1"/>
      <name val="Calibri"/>
      <family val="2"/>
      <scheme val="minor"/>
    </font>
    <font>
      <b/>
      <sz val="9"/>
      <color theme="1"/>
      <name val="Tahoma"/>
      <family val="2"/>
    </font>
    <font>
      <b/>
      <sz val="9"/>
      <color theme="1"/>
      <name val="Calibri"/>
      <family val="2"/>
    </font>
    <font>
      <sz val="11"/>
      <color theme="1"/>
      <name val="Calibr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2">
    <xf numFmtId="0" fontId="0" fillId="0" borderId="0" xfId="0"/>
    <xf numFmtId="0" fontId="1" fillId="2" borderId="0" xfId="0" applyFont="1" applyFill="1" applyAlignment="1">
      <alignment horizontal="center" vertical="center"/>
    </xf>
    <xf numFmtId="164" fontId="1" fillId="2" borderId="0" xfId="0" applyNumberFormat="1" applyFont="1" applyFill="1" applyAlignment="1">
      <alignment horizontal="right" vertical="center"/>
    </xf>
    <xf numFmtId="0" fontId="1" fillId="2" borderId="0" xfId="0" applyFont="1" applyFill="1" applyAlignment="1">
      <alignment horizontal="right" vertical="center"/>
    </xf>
    <xf numFmtId="0" fontId="1" fillId="2" borderId="0" xfId="0" applyFont="1" applyFill="1" applyAlignment="1">
      <alignment horizontal="left" vertical="center"/>
    </xf>
    <xf numFmtId="0" fontId="2" fillId="2" borderId="0" xfId="0" applyFont="1" applyFill="1" applyAlignment="1">
      <alignment horizontal="left" vertical="center"/>
    </xf>
    <xf numFmtId="164" fontId="2" fillId="2" borderId="0" xfId="0" applyNumberFormat="1" applyFont="1" applyFill="1" applyAlignment="1">
      <alignment horizontal="right" vertical="center"/>
    </xf>
    <xf numFmtId="0" fontId="2" fillId="2" borderId="0" xfId="0" applyFont="1" applyFill="1" applyAlignment="1">
      <alignment horizontal="right" vertical="center"/>
    </xf>
    <xf numFmtId="0" fontId="2" fillId="2" borderId="0" xfId="0" applyFont="1" applyFill="1" applyAlignment="1">
      <alignment horizontal="center" vertical="center"/>
    </xf>
    <xf numFmtId="0" fontId="3" fillId="0" borderId="0" xfId="0" applyFont="1"/>
    <xf numFmtId="164" fontId="3" fillId="0" borderId="0" xfId="0" applyNumberFormat="1" applyFont="1" applyAlignment="1">
      <alignment horizontal="right" vertical="center"/>
    </xf>
    <xf numFmtId="164" fontId="3" fillId="0" borderId="0" xfId="0" applyNumberFormat="1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381000</xdr:colOff>
          <xdr:row>0</xdr:row>
          <xdr:rowOff>95250</xdr:rowOff>
        </xdr:from>
        <xdr:to>
          <xdr:col>0</xdr:col>
          <xdr:colOff>1028700</xdr:colOff>
          <xdr:row>1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Export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381000</xdr:colOff>
          <xdr:row>0</xdr:row>
          <xdr:rowOff>95250</xdr:rowOff>
        </xdr:from>
        <xdr:to>
          <xdr:col>0</xdr:col>
          <xdr:colOff>1028700</xdr:colOff>
          <xdr:row>1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Export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381000</xdr:colOff>
          <xdr:row>0</xdr:row>
          <xdr:rowOff>95250</xdr:rowOff>
        </xdr:from>
        <xdr:to>
          <xdr:col>0</xdr:col>
          <xdr:colOff>1028700</xdr:colOff>
          <xdr:row>1</xdr:row>
          <xdr:rowOff>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Export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381000</xdr:colOff>
          <xdr:row>0</xdr:row>
          <xdr:rowOff>95250</xdr:rowOff>
        </xdr:from>
        <xdr:to>
          <xdr:col>0</xdr:col>
          <xdr:colOff>1028700</xdr:colOff>
          <xdr:row>1</xdr:row>
          <xdr:rowOff>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Export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H49"/>
  <sheetViews>
    <sheetView tabSelected="1" workbookViewId="0">
      <pane ySplit="1" topLeftCell="A2" activePane="bottomLeft" state="frozen"/>
      <selection pane="bottomLeft" activeCell="H7" sqref="H7"/>
    </sheetView>
  </sheetViews>
  <sheetFormatPr defaultRowHeight="15" x14ac:dyDescent="0.25"/>
  <cols>
    <col min="1" max="1" width="16.140625" style="9" customWidth="1"/>
    <col min="2" max="2" width="13.42578125" style="9" customWidth="1"/>
    <col min="3" max="3" width="13.42578125" style="10" customWidth="1"/>
    <col min="4" max="4" width="13.42578125" style="11" customWidth="1"/>
    <col min="5" max="5" width="13.42578125" style="9" customWidth="1"/>
    <col min="6" max="8" width="13.42578125" style="11" customWidth="1"/>
    <col min="9" max="16384" width="9.140625" style="9"/>
  </cols>
  <sheetData>
    <row r="1" spans="1:8" s="8" customFormat="1" ht="26.25" customHeight="1" x14ac:dyDescent="0.25">
      <c r="A1" s="5" t="s">
        <v>75</v>
      </c>
      <c r="B1" s="5" t="s">
        <v>76</v>
      </c>
      <c r="C1" s="6" t="s">
        <v>77</v>
      </c>
      <c r="D1" s="6" t="s">
        <v>78</v>
      </c>
      <c r="E1" s="7" t="s">
        <v>79</v>
      </c>
      <c r="F1" s="6" t="s">
        <v>80</v>
      </c>
      <c r="G1" s="6" t="s">
        <v>81</v>
      </c>
      <c r="H1" s="6" t="s">
        <v>82</v>
      </c>
    </row>
    <row r="2" spans="1:8" x14ac:dyDescent="0.25">
      <c r="A2" s="9" t="s">
        <v>59</v>
      </c>
      <c r="B2" s="9" t="s">
        <v>60</v>
      </c>
      <c r="C2" s="10">
        <v>0</v>
      </c>
      <c r="D2" s="11">
        <v>8</v>
      </c>
      <c r="E2" s="9">
        <v>0</v>
      </c>
      <c r="F2" s="11">
        <v>0</v>
      </c>
      <c r="G2" s="11">
        <v>0</v>
      </c>
      <c r="H2" s="11">
        <f t="shared" ref="H2:H7" si="0">E2/2</f>
        <v>0</v>
      </c>
    </row>
    <row r="3" spans="1:8" x14ac:dyDescent="0.25">
      <c r="A3" s="9" t="s">
        <v>119</v>
      </c>
      <c r="B3" s="9" t="s">
        <v>120</v>
      </c>
      <c r="C3" s="10">
        <v>0</v>
      </c>
      <c r="D3" s="11">
        <v>10</v>
      </c>
      <c r="E3" s="9">
        <v>0</v>
      </c>
      <c r="F3" s="11">
        <v>0</v>
      </c>
      <c r="G3" s="11">
        <v>0</v>
      </c>
      <c r="H3" s="11">
        <f t="shared" si="0"/>
        <v>0</v>
      </c>
    </row>
    <row r="4" spans="1:8" x14ac:dyDescent="0.25">
      <c r="A4" s="9" t="s">
        <v>117</v>
      </c>
      <c r="B4" s="9" t="s">
        <v>118</v>
      </c>
      <c r="C4" s="10">
        <v>0</v>
      </c>
      <c r="D4" s="11">
        <v>11</v>
      </c>
      <c r="E4" s="9">
        <v>0</v>
      </c>
      <c r="F4" s="11">
        <v>0</v>
      </c>
      <c r="G4" s="11">
        <v>0</v>
      </c>
      <c r="H4" s="11">
        <f t="shared" si="0"/>
        <v>0</v>
      </c>
    </row>
    <row r="5" spans="1:8" x14ac:dyDescent="0.25">
      <c r="A5" s="9" t="s">
        <v>69</v>
      </c>
      <c r="B5" s="9" t="s">
        <v>70</v>
      </c>
      <c r="C5" s="10">
        <v>0</v>
      </c>
      <c r="D5" s="11">
        <v>16</v>
      </c>
      <c r="E5" s="9">
        <v>0</v>
      </c>
      <c r="F5" s="11">
        <v>0</v>
      </c>
      <c r="G5" s="11">
        <v>0</v>
      </c>
      <c r="H5" s="11">
        <f t="shared" si="0"/>
        <v>0</v>
      </c>
    </row>
    <row r="6" spans="1:8" x14ac:dyDescent="0.25">
      <c r="A6" s="9" t="s">
        <v>71</v>
      </c>
      <c r="B6" s="9" t="s">
        <v>72</v>
      </c>
      <c r="C6" s="10">
        <v>0</v>
      </c>
      <c r="D6" s="11">
        <v>16</v>
      </c>
      <c r="E6" s="9">
        <v>0</v>
      </c>
      <c r="F6" s="11">
        <v>0</v>
      </c>
      <c r="G6" s="11">
        <v>0</v>
      </c>
      <c r="H6" s="11">
        <f t="shared" si="0"/>
        <v>0</v>
      </c>
    </row>
    <row r="7" spans="1:8" x14ac:dyDescent="0.25">
      <c r="A7" s="9" t="s">
        <v>73</v>
      </c>
      <c r="B7" s="9" t="s">
        <v>74</v>
      </c>
      <c r="C7" s="10">
        <v>0</v>
      </c>
      <c r="D7" s="11">
        <v>0</v>
      </c>
      <c r="E7" s="9">
        <v>10000</v>
      </c>
      <c r="F7" s="11">
        <v>0</v>
      </c>
      <c r="G7" s="11">
        <v>0</v>
      </c>
      <c r="H7" s="11">
        <v>0</v>
      </c>
    </row>
    <row r="8" spans="1:8" x14ac:dyDescent="0.25">
      <c r="A8" s="9" t="s">
        <v>54</v>
      </c>
      <c r="B8" s="9" t="s">
        <v>55</v>
      </c>
      <c r="C8" s="10">
        <v>0.2</v>
      </c>
      <c r="D8" s="11">
        <v>3</v>
      </c>
      <c r="E8" s="9">
        <v>25</v>
      </c>
      <c r="F8" s="11">
        <v>60</v>
      </c>
      <c r="G8" s="11">
        <v>0</v>
      </c>
      <c r="H8" s="11">
        <v>0</v>
      </c>
    </row>
    <row r="9" spans="1:8" x14ac:dyDescent="0.25">
      <c r="A9" s="9" t="s">
        <v>67</v>
      </c>
      <c r="B9" s="9" t="s">
        <v>68</v>
      </c>
      <c r="C9" s="10">
        <v>0.1</v>
      </c>
      <c r="D9" s="11">
        <v>8</v>
      </c>
      <c r="E9" s="9">
        <v>0</v>
      </c>
      <c r="F9" s="11">
        <v>30</v>
      </c>
      <c r="G9" s="11">
        <v>0</v>
      </c>
      <c r="H9" s="11">
        <f t="shared" ref="H9:H49" si="1">E9/2</f>
        <v>0</v>
      </c>
    </row>
    <row r="10" spans="1:8" x14ac:dyDescent="0.25">
      <c r="A10" s="9" t="s">
        <v>63</v>
      </c>
      <c r="B10" s="9" t="s">
        <v>64</v>
      </c>
      <c r="C10" s="10">
        <v>0</v>
      </c>
      <c r="D10" s="11">
        <v>5</v>
      </c>
      <c r="E10" s="9">
        <v>0</v>
      </c>
      <c r="F10" s="11">
        <v>0</v>
      </c>
      <c r="G10" s="11">
        <v>0</v>
      </c>
      <c r="H10" s="11">
        <f t="shared" si="1"/>
        <v>0</v>
      </c>
    </row>
    <row r="11" spans="1:8" x14ac:dyDescent="0.25">
      <c r="A11" s="9" t="s">
        <v>65</v>
      </c>
      <c r="B11" s="9" t="s">
        <v>66</v>
      </c>
      <c r="C11" s="10">
        <v>0.5</v>
      </c>
      <c r="D11" s="11">
        <v>20</v>
      </c>
      <c r="E11" s="9">
        <v>0</v>
      </c>
      <c r="F11" s="11">
        <v>10</v>
      </c>
      <c r="G11" s="11">
        <v>0</v>
      </c>
      <c r="H11" s="11">
        <f t="shared" si="1"/>
        <v>0</v>
      </c>
    </row>
    <row r="12" spans="1:8" x14ac:dyDescent="0.25">
      <c r="A12" s="9" t="s">
        <v>123</v>
      </c>
      <c r="B12" s="9" t="s">
        <v>124</v>
      </c>
      <c r="C12" s="10">
        <v>0.5</v>
      </c>
      <c r="D12" s="11">
        <v>20</v>
      </c>
      <c r="E12" s="9">
        <v>0</v>
      </c>
      <c r="F12" s="11">
        <v>20</v>
      </c>
      <c r="G12" s="11">
        <v>0</v>
      </c>
      <c r="H12" s="11">
        <f t="shared" ref="H12" si="2">E12/2</f>
        <v>0</v>
      </c>
    </row>
    <row r="13" spans="1:8" x14ac:dyDescent="0.25">
      <c r="A13" s="9" t="s">
        <v>61</v>
      </c>
      <c r="B13" s="9" t="s">
        <v>62</v>
      </c>
      <c r="C13" s="10">
        <v>0</v>
      </c>
      <c r="D13" s="11">
        <v>100</v>
      </c>
      <c r="E13" s="9">
        <v>0</v>
      </c>
      <c r="F13" s="11">
        <v>0</v>
      </c>
      <c r="G13" s="11">
        <v>0</v>
      </c>
      <c r="H13" s="11">
        <f t="shared" si="1"/>
        <v>0</v>
      </c>
    </row>
    <row r="14" spans="1:8" x14ac:dyDescent="0.25">
      <c r="A14" s="9" t="s">
        <v>14</v>
      </c>
      <c r="B14" s="9" t="s">
        <v>15</v>
      </c>
      <c r="C14" s="10">
        <v>1</v>
      </c>
      <c r="D14" s="11">
        <v>4</v>
      </c>
      <c r="E14" s="9">
        <v>40</v>
      </c>
      <c r="F14" s="11">
        <v>15</v>
      </c>
      <c r="G14" s="11">
        <v>0</v>
      </c>
      <c r="H14" s="11">
        <f t="shared" si="1"/>
        <v>20</v>
      </c>
    </row>
    <row r="15" spans="1:8" x14ac:dyDescent="0.25">
      <c r="A15" s="9" t="s">
        <v>0</v>
      </c>
      <c r="B15" s="9" t="s">
        <v>1</v>
      </c>
      <c r="C15" s="10">
        <v>1</v>
      </c>
      <c r="D15" s="11">
        <v>4.5</v>
      </c>
      <c r="E15" s="9">
        <v>120</v>
      </c>
      <c r="F15" s="11">
        <v>16</v>
      </c>
      <c r="G15" s="11">
        <v>0.02</v>
      </c>
      <c r="H15" s="11">
        <f t="shared" si="1"/>
        <v>60</v>
      </c>
    </row>
    <row r="16" spans="1:8" x14ac:dyDescent="0.25">
      <c r="A16" s="9" t="s">
        <v>2</v>
      </c>
      <c r="B16" s="9" t="s">
        <v>3</v>
      </c>
      <c r="C16" s="10">
        <v>1</v>
      </c>
      <c r="D16" s="11">
        <v>5</v>
      </c>
      <c r="E16" s="9">
        <v>500</v>
      </c>
      <c r="F16" s="11">
        <v>17</v>
      </c>
      <c r="G16" s="11">
        <v>0</v>
      </c>
      <c r="H16" s="11">
        <f t="shared" si="1"/>
        <v>250</v>
      </c>
    </row>
    <row r="17" spans="1:8" x14ac:dyDescent="0.25">
      <c r="A17" s="9" t="s">
        <v>44</v>
      </c>
      <c r="B17" s="9" t="s">
        <v>45</v>
      </c>
      <c r="C17" s="10">
        <v>2</v>
      </c>
      <c r="D17" s="11">
        <v>2</v>
      </c>
      <c r="E17" s="9">
        <v>20</v>
      </c>
      <c r="F17" s="11">
        <v>10</v>
      </c>
      <c r="G17" s="11">
        <v>0</v>
      </c>
      <c r="H17" s="11">
        <f t="shared" si="1"/>
        <v>10</v>
      </c>
    </row>
    <row r="18" spans="1:8" x14ac:dyDescent="0.25">
      <c r="A18" s="9" t="s">
        <v>24</v>
      </c>
      <c r="B18" s="9" t="s">
        <v>25</v>
      </c>
      <c r="C18" s="10">
        <v>2</v>
      </c>
      <c r="D18" s="11">
        <v>2.4</v>
      </c>
      <c r="E18" s="9">
        <v>80</v>
      </c>
      <c r="F18" s="11">
        <v>12</v>
      </c>
      <c r="G18" s="11">
        <v>0</v>
      </c>
      <c r="H18" s="11">
        <f t="shared" si="1"/>
        <v>40</v>
      </c>
    </row>
    <row r="19" spans="1:8" x14ac:dyDescent="0.25">
      <c r="A19" s="9" t="s">
        <v>38</v>
      </c>
      <c r="B19" s="9" t="s">
        <v>39</v>
      </c>
      <c r="C19" s="10">
        <v>2</v>
      </c>
      <c r="D19" s="11">
        <v>2.8</v>
      </c>
      <c r="E19" s="9">
        <v>250</v>
      </c>
      <c r="F19" s="11">
        <v>14</v>
      </c>
      <c r="G19" s="11">
        <v>0</v>
      </c>
      <c r="H19" s="11">
        <f t="shared" si="1"/>
        <v>125</v>
      </c>
    </row>
    <row r="20" spans="1:8" x14ac:dyDescent="0.25">
      <c r="A20" s="9" t="s">
        <v>18</v>
      </c>
      <c r="B20" s="9" t="s">
        <v>19</v>
      </c>
      <c r="C20" s="10">
        <v>3</v>
      </c>
      <c r="D20" s="11">
        <v>7</v>
      </c>
      <c r="E20" s="9">
        <v>180</v>
      </c>
      <c r="F20" s="11">
        <v>5.3333333329999997</v>
      </c>
      <c r="G20" s="11">
        <v>0.05</v>
      </c>
      <c r="H20" s="11">
        <f t="shared" si="1"/>
        <v>90</v>
      </c>
    </row>
    <row r="21" spans="1:8" x14ac:dyDescent="0.25">
      <c r="A21" s="9" t="s">
        <v>16</v>
      </c>
      <c r="B21" s="9" t="s">
        <v>17</v>
      </c>
      <c r="C21" s="10">
        <v>3</v>
      </c>
      <c r="D21" s="11">
        <v>9</v>
      </c>
      <c r="E21" s="9">
        <v>600</v>
      </c>
      <c r="F21" s="11">
        <v>6</v>
      </c>
      <c r="G21" s="11">
        <v>0.05</v>
      </c>
      <c r="H21" s="11">
        <f t="shared" si="1"/>
        <v>300</v>
      </c>
    </row>
    <row r="22" spans="1:8" x14ac:dyDescent="0.25">
      <c r="A22" s="9" t="s">
        <v>103</v>
      </c>
      <c r="B22" s="9" t="s">
        <v>104</v>
      </c>
      <c r="C22" s="10">
        <v>3</v>
      </c>
      <c r="D22" s="11">
        <v>11</v>
      </c>
      <c r="E22" s="9">
        <v>1000</v>
      </c>
      <c r="F22" s="11">
        <v>7</v>
      </c>
      <c r="G22" s="11">
        <v>0</v>
      </c>
      <c r="H22" s="11">
        <f t="shared" si="1"/>
        <v>500</v>
      </c>
    </row>
    <row r="23" spans="1:8" x14ac:dyDescent="0.25">
      <c r="A23" s="9" t="s">
        <v>40</v>
      </c>
      <c r="B23" s="9" t="s">
        <v>41</v>
      </c>
      <c r="C23" s="10">
        <v>5</v>
      </c>
      <c r="D23" s="11">
        <v>8</v>
      </c>
      <c r="E23" s="9">
        <v>250</v>
      </c>
      <c r="F23" s="11">
        <v>10</v>
      </c>
      <c r="G23" s="11">
        <v>0</v>
      </c>
      <c r="H23" s="11">
        <f t="shared" si="1"/>
        <v>125</v>
      </c>
    </row>
    <row r="24" spans="1:8" x14ac:dyDescent="0.25">
      <c r="A24" s="9" t="s">
        <v>32</v>
      </c>
      <c r="B24" s="9" t="s">
        <v>33</v>
      </c>
      <c r="C24" s="10">
        <v>5</v>
      </c>
      <c r="D24" s="11">
        <v>10</v>
      </c>
      <c r="E24" s="9">
        <v>500</v>
      </c>
      <c r="F24" s="11">
        <v>12</v>
      </c>
      <c r="G24" s="11">
        <v>0</v>
      </c>
      <c r="H24" s="11">
        <f t="shared" si="1"/>
        <v>250</v>
      </c>
    </row>
    <row r="25" spans="1:8" x14ac:dyDescent="0.25">
      <c r="A25" s="9" t="s">
        <v>34</v>
      </c>
      <c r="B25" s="9" t="s">
        <v>35</v>
      </c>
      <c r="C25" s="10">
        <v>5</v>
      </c>
      <c r="D25" s="11">
        <v>10</v>
      </c>
      <c r="E25" s="9">
        <v>1000</v>
      </c>
      <c r="F25" s="11">
        <v>14</v>
      </c>
      <c r="G25" s="11">
        <v>0</v>
      </c>
      <c r="H25" s="11">
        <f t="shared" si="1"/>
        <v>500</v>
      </c>
    </row>
    <row r="26" spans="1:8" x14ac:dyDescent="0.25">
      <c r="A26" s="9" t="s">
        <v>105</v>
      </c>
      <c r="B26" s="9" t="s">
        <v>108</v>
      </c>
      <c r="C26" s="10">
        <v>2.5</v>
      </c>
      <c r="D26" s="11">
        <v>20</v>
      </c>
      <c r="E26" s="9">
        <v>200</v>
      </c>
      <c r="F26" s="11">
        <v>12</v>
      </c>
      <c r="G26" s="11">
        <v>0</v>
      </c>
      <c r="H26" s="11">
        <f t="shared" si="1"/>
        <v>100</v>
      </c>
    </row>
    <row r="27" spans="1:8" x14ac:dyDescent="0.25">
      <c r="A27" s="9" t="s">
        <v>106</v>
      </c>
      <c r="B27" s="9" t="s">
        <v>110</v>
      </c>
      <c r="C27" s="10">
        <v>2.5</v>
      </c>
      <c r="D27" s="11">
        <v>25</v>
      </c>
      <c r="E27" s="9">
        <v>300</v>
      </c>
      <c r="F27" s="11">
        <v>14</v>
      </c>
      <c r="G27" s="11">
        <v>0</v>
      </c>
      <c r="H27" s="11">
        <f t="shared" si="1"/>
        <v>150</v>
      </c>
    </row>
    <row r="28" spans="1:8" x14ac:dyDescent="0.25">
      <c r="A28" s="9" t="s">
        <v>107</v>
      </c>
      <c r="B28" s="9" t="s">
        <v>109</v>
      </c>
      <c r="C28" s="10">
        <v>2.5</v>
      </c>
      <c r="D28" s="11">
        <v>30</v>
      </c>
      <c r="E28" s="9">
        <v>400</v>
      </c>
      <c r="F28" s="11">
        <v>16</v>
      </c>
      <c r="G28" s="11">
        <v>0</v>
      </c>
      <c r="H28" s="11">
        <f t="shared" si="1"/>
        <v>200</v>
      </c>
    </row>
    <row r="29" spans="1:8" x14ac:dyDescent="0.25">
      <c r="A29" s="9" t="s">
        <v>12</v>
      </c>
      <c r="B29" s="9" t="s">
        <v>13</v>
      </c>
      <c r="C29" s="10">
        <v>2.5</v>
      </c>
      <c r="D29" s="11">
        <v>4</v>
      </c>
      <c r="E29" s="9">
        <v>100</v>
      </c>
      <c r="F29" s="11">
        <v>10</v>
      </c>
      <c r="G29" s="11">
        <v>0</v>
      </c>
      <c r="H29" s="11">
        <f t="shared" si="1"/>
        <v>50</v>
      </c>
    </row>
    <row r="30" spans="1:8" x14ac:dyDescent="0.25">
      <c r="A30" s="9" t="s">
        <v>50</v>
      </c>
      <c r="B30" s="9" t="s">
        <v>51</v>
      </c>
      <c r="C30" s="10">
        <v>2.5</v>
      </c>
      <c r="D30" s="11">
        <v>4.5</v>
      </c>
      <c r="E30" s="9">
        <v>300</v>
      </c>
      <c r="F30" s="11">
        <v>12</v>
      </c>
      <c r="G30" s="11">
        <v>0</v>
      </c>
      <c r="H30" s="11">
        <f t="shared" si="1"/>
        <v>150</v>
      </c>
    </row>
    <row r="31" spans="1:8" x14ac:dyDescent="0.25">
      <c r="A31" s="9" t="s">
        <v>52</v>
      </c>
      <c r="B31" s="9" t="s">
        <v>53</v>
      </c>
      <c r="C31" s="10">
        <v>2.5</v>
      </c>
      <c r="D31" s="11">
        <v>5</v>
      </c>
      <c r="E31" s="9">
        <v>600</v>
      </c>
      <c r="F31" s="11">
        <v>14</v>
      </c>
      <c r="G31" s="11">
        <v>0</v>
      </c>
      <c r="H31" s="11">
        <f t="shared" si="1"/>
        <v>300</v>
      </c>
    </row>
    <row r="32" spans="1:8" x14ac:dyDescent="0.25">
      <c r="A32" s="9" t="s">
        <v>20</v>
      </c>
      <c r="B32" s="9" t="s">
        <v>21</v>
      </c>
      <c r="C32" s="10">
        <v>30</v>
      </c>
      <c r="D32" s="11">
        <v>10</v>
      </c>
      <c r="E32" s="9">
        <v>100</v>
      </c>
      <c r="F32" s="11">
        <v>3</v>
      </c>
      <c r="G32" s="11">
        <v>0</v>
      </c>
      <c r="H32" s="11">
        <f t="shared" si="1"/>
        <v>50</v>
      </c>
    </row>
    <row r="33" spans="1:8" x14ac:dyDescent="0.25">
      <c r="A33" s="9" t="s">
        <v>28</v>
      </c>
      <c r="B33" s="9" t="s">
        <v>29</v>
      </c>
      <c r="C33" s="10">
        <v>30</v>
      </c>
      <c r="D33" s="11">
        <v>12</v>
      </c>
      <c r="E33" s="9">
        <v>400</v>
      </c>
      <c r="F33" s="11">
        <v>3</v>
      </c>
      <c r="G33" s="11">
        <v>0.05</v>
      </c>
      <c r="H33" s="11">
        <f t="shared" si="1"/>
        <v>200</v>
      </c>
    </row>
    <row r="34" spans="1:8" x14ac:dyDescent="0.25">
      <c r="A34" s="9" t="s">
        <v>30</v>
      </c>
      <c r="B34" s="9" t="s">
        <v>31</v>
      </c>
      <c r="C34" s="10">
        <v>50</v>
      </c>
      <c r="D34" s="11">
        <v>15</v>
      </c>
      <c r="E34" s="9">
        <v>2000</v>
      </c>
      <c r="F34" s="11">
        <v>2</v>
      </c>
      <c r="G34" s="11">
        <v>0</v>
      </c>
      <c r="H34" s="11">
        <f t="shared" si="1"/>
        <v>1000</v>
      </c>
    </row>
    <row r="35" spans="1:8" x14ac:dyDescent="0.25">
      <c r="A35" s="9" t="s">
        <v>58</v>
      </c>
      <c r="B35" s="9" t="s">
        <v>31</v>
      </c>
      <c r="C35" s="10">
        <v>2.5</v>
      </c>
      <c r="D35" s="11">
        <v>2</v>
      </c>
      <c r="E35" s="9">
        <v>2000</v>
      </c>
      <c r="F35" s="11">
        <v>2</v>
      </c>
      <c r="G35" s="11">
        <v>0</v>
      </c>
      <c r="H35" s="11">
        <f t="shared" si="1"/>
        <v>1000</v>
      </c>
    </row>
    <row r="36" spans="1:8" x14ac:dyDescent="0.25">
      <c r="A36" s="9" t="s">
        <v>36</v>
      </c>
      <c r="B36" s="9" t="s">
        <v>37</v>
      </c>
      <c r="C36" s="10">
        <v>2</v>
      </c>
      <c r="D36" s="11">
        <v>3</v>
      </c>
      <c r="E36" s="9">
        <v>180</v>
      </c>
      <c r="F36" s="11">
        <v>6</v>
      </c>
      <c r="G36" s="11">
        <v>0</v>
      </c>
      <c r="H36" s="11">
        <f t="shared" si="1"/>
        <v>90</v>
      </c>
    </row>
    <row r="37" spans="1:8" x14ac:dyDescent="0.25">
      <c r="A37" s="9" t="s">
        <v>111</v>
      </c>
      <c r="B37" s="9" t="s">
        <v>112</v>
      </c>
      <c r="C37" s="10">
        <v>2</v>
      </c>
      <c r="D37" s="11">
        <v>3</v>
      </c>
      <c r="E37" s="9">
        <v>600</v>
      </c>
      <c r="F37" s="11">
        <v>6</v>
      </c>
      <c r="G37" s="11">
        <v>0</v>
      </c>
      <c r="H37" s="11">
        <f t="shared" si="1"/>
        <v>300</v>
      </c>
    </row>
    <row r="38" spans="1:8" x14ac:dyDescent="0.25">
      <c r="A38" s="9" t="s">
        <v>42</v>
      </c>
      <c r="B38" s="9" t="s">
        <v>43</v>
      </c>
      <c r="C38" s="10">
        <v>2</v>
      </c>
      <c r="D38" s="11">
        <v>3</v>
      </c>
      <c r="E38" s="9">
        <v>1000</v>
      </c>
      <c r="F38" s="11">
        <v>6</v>
      </c>
      <c r="G38" s="11">
        <v>0</v>
      </c>
      <c r="H38" s="11">
        <f t="shared" si="1"/>
        <v>500</v>
      </c>
    </row>
    <row r="39" spans="1:8" x14ac:dyDescent="0.25">
      <c r="A39" s="9" t="s">
        <v>26</v>
      </c>
      <c r="B39" s="9" t="s">
        <v>27</v>
      </c>
      <c r="C39" s="10">
        <v>2</v>
      </c>
      <c r="D39" s="11">
        <v>6</v>
      </c>
      <c r="E39" s="9">
        <v>125</v>
      </c>
      <c r="F39" s="11">
        <v>7.5</v>
      </c>
      <c r="G39" s="11">
        <v>0.05</v>
      </c>
      <c r="H39" s="11">
        <f t="shared" si="1"/>
        <v>62.5</v>
      </c>
    </row>
    <row r="40" spans="1:8" x14ac:dyDescent="0.25">
      <c r="A40" s="9" t="s">
        <v>6</v>
      </c>
      <c r="B40" s="9" t="s">
        <v>7</v>
      </c>
      <c r="C40" s="10">
        <v>2</v>
      </c>
      <c r="D40" s="11">
        <v>6</v>
      </c>
      <c r="E40" s="9">
        <v>400</v>
      </c>
      <c r="F40" s="11">
        <v>7.5</v>
      </c>
      <c r="G40" s="11">
        <v>0.05</v>
      </c>
      <c r="H40" s="11">
        <f t="shared" si="1"/>
        <v>200</v>
      </c>
    </row>
    <row r="41" spans="1:8" x14ac:dyDescent="0.25">
      <c r="A41" s="9" t="s">
        <v>8</v>
      </c>
      <c r="B41" s="9" t="s">
        <v>9</v>
      </c>
      <c r="C41" s="10">
        <v>2</v>
      </c>
      <c r="D41" s="11">
        <v>6</v>
      </c>
      <c r="E41" s="9">
        <v>800</v>
      </c>
      <c r="F41" s="11">
        <v>9</v>
      </c>
      <c r="G41" s="11">
        <v>0.05</v>
      </c>
      <c r="H41" s="11">
        <f t="shared" si="1"/>
        <v>400</v>
      </c>
    </row>
    <row r="42" spans="1:8" x14ac:dyDescent="0.25">
      <c r="A42" s="9" t="s">
        <v>56</v>
      </c>
      <c r="B42" s="9" t="s">
        <v>57</v>
      </c>
      <c r="C42" s="10">
        <v>1</v>
      </c>
      <c r="D42" s="11">
        <v>6</v>
      </c>
      <c r="E42" s="9">
        <v>65</v>
      </c>
      <c r="F42" s="11">
        <v>10</v>
      </c>
      <c r="G42" s="11">
        <v>0.1</v>
      </c>
      <c r="H42" s="11">
        <f t="shared" si="1"/>
        <v>32.5</v>
      </c>
    </row>
    <row r="43" spans="1:8" x14ac:dyDescent="0.25">
      <c r="A43" s="9" t="s">
        <v>4</v>
      </c>
      <c r="B43" s="9" t="s">
        <v>5</v>
      </c>
      <c r="C43" s="10">
        <v>1</v>
      </c>
      <c r="D43" s="11">
        <v>7</v>
      </c>
      <c r="E43" s="9">
        <v>500</v>
      </c>
      <c r="F43" s="11">
        <v>12</v>
      </c>
      <c r="G43" s="11">
        <v>0.1</v>
      </c>
      <c r="H43" s="11">
        <f t="shared" si="1"/>
        <v>250</v>
      </c>
    </row>
    <row r="44" spans="1:8" x14ac:dyDescent="0.25">
      <c r="A44" s="9" t="s">
        <v>22</v>
      </c>
      <c r="B44" s="9" t="s">
        <v>23</v>
      </c>
      <c r="C44" s="10">
        <v>1</v>
      </c>
      <c r="D44" s="11">
        <v>8</v>
      </c>
      <c r="E44" s="9">
        <v>1000</v>
      </c>
      <c r="F44" s="11">
        <v>12</v>
      </c>
      <c r="G44" s="11">
        <v>0.1</v>
      </c>
      <c r="H44" s="11">
        <f t="shared" si="1"/>
        <v>500</v>
      </c>
    </row>
    <row r="45" spans="1:8" x14ac:dyDescent="0.25">
      <c r="A45" s="9" t="s">
        <v>10</v>
      </c>
      <c r="B45" s="9" t="s">
        <v>11</v>
      </c>
      <c r="C45" s="10">
        <v>1</v>
      </c>
      <c r="D45" s="11">
        <v>6</v>
      </c>
      <c r="E45" s="9">
        <v>30</v>
      </c>
      <c r="F45" s="11">
        <v>20</v>
      </c>
      <c r="G45" s="11">
        <v>0</v>
      </c>
      <c r="H45" s="11">
        <f t="shared" si="1"/>
        <v>15</v>
      </c>
    </row>
    <row r="46" spans="1:8" x14ac:dyDescent="0.25">
      <c r="A46" s="9" t="s">
        <v>46</v>
      </c>
      <c r="B46" s="9" t="s">
        <v>47</v>
      </c>
      <c r="C46" s="10">
        <v>1</v>
      </c>
      <c r="D46" s="11">
        <v>10</v>
      </c>
      <c r="E46" s="9">
        <v>180</v>
      </c>
      <c r="F46" s="11">
        <v>20</v>
      </c>
      <c r="G46" s="11">
        <v>0</v>
      </c>
      <c r="H46" s="11">
        <f t="shared" si="1"/>
        <v>90</v>
      </c>
    </row>
    <row r="47" spans="1:8" x14ac:dyDescent="0.25">
      <c r="A47" s="9" t="s">
        <v>113</v>
      </c>
      <c r="B47" s="9" t="s">
        <v>114</v>
      </c>
      <c r="C47" s="10">
        <v>1.5</v>
      </c>
      <c r="D47" s="11">
        <v>12</v>
      </c>
      <c r="E47" s="9">
        <v>500</v>
      </c>
      <c r="F47" s="11">
        <v>20</v>
      </c>
      <c r="G47" s="11">
        <v>0</v>
      </c>
      <c r="H47" s="11">
        <f t="shared" si="1"/>
        <v>250</v>
      </c>
    </row>
    <row r="48" spans="1:8" x14ac:dyDescent="0.25">
      <c r="A48" s="9" t="s">
        <v>48</v>
      </c>
      <c r="B48" s="9" t="s">
        <v>49</v>
      </c>
      <c r="C48" s="10">
        <v>4</v>
      </c>
      <c r="D48" s="11">
        <v>7</v>
      </c>
      <c r="E48" s="9">
        <v>500</v>
      </c>
      <c r="F48" s="11">
        <v>5</v>
      </c>
      <c r="G48" s="11">
        <v>0</v>
      </c>
      <c r="H48" s="11">
        <f t="shared" si="1"/>
        <v>250</v>
      </c>
    </row>
    <row r="49" spans="1:8" x14ac:dyDescent="0.25">
      <c r="A49" s="9" t="s">
        <v>116</v>
      </c>
      <c r="B49" s="9" t="s">
        <v>115</v>
      </c>
      <c r="C49" s="10">
        <v>4</v>
      </c>
      <c r="D49" s="11">
        <v>8</v>
      </c>
      <c r="E49" s="9">
        <v>1000</v>
      </c>
      <c r="F49" s="11">
        <v>5</v>
      </c>
      <c r="G49" s="11">
        <v>0</v>
      </c>
      <c r="H49" s="11">
        <f t="shared" si="1"/>
        <v>500</v>
      </c>
    </row>
  </sheetData>
  <sortState ref="A2:H46">
    <sortCondition ref="B2:B46"/>
  </sortState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ExportActiveWorksheet">
                <anchor moveWithCells="1" sizeWithCells="1">
                  <from>
                    <xdr:col>0</xdr:col>
                    <xdr:colOff>381000</xdr:colOff>
                    <xdr:row>0</xdr:row>
                    <xdr:rowOff>95250</xdr:rowOff>
                  </from>
                  <to>
                    <xdr:col>0</xdr:col>
                    <xdr:colOff>1028700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I92"/>
  <sheetViews>
    <sheetView workbookViewId="0">
      <pane ySplit="1" topLeftCell="A2" activePane="bottomLeft" state="frozen"/>
      <selection pane="bottomLeft" activeCell="J1" sqref="J1"/>
    </sheetView>
  </sheetViews>
  <sheetFormatPr defaultRowHeight="15" x14ac:dyDescent="0.25"/>
  <cols>
    <col min="1" max="1" width="16" customWidth="1"/>
    <col min="2" max="2" width="19" customWidth="1"/>
    <col min="9" max="9" width="11.85546875" customWidth="1"/>
  </cols>
  <sheetData>
    <row r="1" spans="1:9" s="1" customFormat="1" ht="28.5" customHeight="1" x14ac:dyDescent="0.25">
      <c r="A1" s="4" t="s">
        <v>83</v>
      </c>
      <c r="B1" s="4" t="s">
        <v>84</v>
      </c>
      <c r="C1" s="2" t="s">
        <v>85</v>
      </c>
      <c r="D1" s="2" t="s">
        <v>86</v>
      </c>
      <c r="E1" s="3" t="s">
        <v>87</v>
      </c>
      <c r="F1" s="2" t="s">
        <v>88</v>
      </c>
      <c r="G1" s="2" t="s">
        <v>89</v>
      </c>
      <c r="H1" s="2" t="s">
        <v>121</v>
      </c>
      <c r="I1" s="1" t="s">
        <v>122</v>
      </c>
    </row>
    <row r="2" spans="1:9" x14ac:dyDescent="0.25">
      <c r="A2" t="s">
        <v>12</v>
      </c>
      <c r="B2" t="s">
        <v>123</v>
      </c>
      <c r="C2">
        <v>20</v>
      </c>
      <c r="D2">
        <v>-35</v>
      </c>
      <c r="E2">
        <v>-5</v>
      </c>
      <c r="F2">
        <v>0</v>
      </c>
      <c r="G2">
        <v>3</v>
      </c>
      <c r="H2">
        <v>0.5</v>
      </c>
      <c r="I2">
        <v>1</v>
      </c>
    </row>
    <row r="3" spans="1:9" x14ac:dyDescent="0.25">
      <c r="A3" t="s">
        <v>12</v>
      </c>
      <c r="B3" t="s">
        <v>123</v>
      </c>
      <c r="C3">
        <v>20</v>
      </c>
      <c r="D3">
        <v>36</v>
      </c>
      <c r="E3">
        <v>-5</v>
      </c>
      <c r="F3">
        <v>0</v>
      </c>
      <c r="G3">
        <v>3</v>
      </c>
      <c r="H3">
        <v>0.5</v>
      </c>
      <c r="I3">
        <v>2</v>
      </c>
    </row>
    <row r="4" spans="1:9" x14ac:dyDescent="0.25">
      <c r="A4" t="s">
        <v>50</v>
      </c>
      <c r="B4" t="s">
        <v>65</v>
      </c>
      <c r="C4">
        <v>40</v>
      </c>
      <c r="D4">
        <v>-36</v>
      </c>
      <c r="E4">
        <v>0</v>
      </c>
      <c r="F4">
        <v>0</v>
      </c>
      <c r="G4">
        <v>3</v>
      </c>
      <c r="H4">
        <v>0.4</v>
      </c>
      <c r="I4">
        <v>1</v>
      </c>
    </row>
    <row r="5" spans="1:9" x14ac:dyDescent="0.25">
      <c r="A5" t="s">
        <v>50</v>
      </c>
      <c r="B5" t="s">
        <v>65</v>
      </c>
      <c r="C5">
        <v>40</v>
      </c>
      <c r="D5">
        <v>-23</v>
      </c>
      <c r="E5">
        <v>-10</v>
      </c>
      <c r="F5">
        <v>0</v>
      </c>
      <c r="G5">
        <v>3</v>
      </c>
      <c r="H5">
        <v>0.4</v>
      </c>
      <c r="I5">
        <v>2</v>
      </c>
    </row>
    <row r="6" spans="1:9" x14ac:dyDescent="0.25">
      <c r="A6" t="s">
        <v>50</v>
      </c>
      <c r="B6" t="s">
        <v>65</v>
      </c>
      <c r="C6">
        <v>40</v>
      </c>
      <c r="D6">
        <v>23</v>
      </c>
      <c r="E6">
        <v>-10</v>
      </c>
      <c r="F6">
        <v>0</v>
      </c>
      <c r="G6">
        <v>3</v>
      </c>
      <c r="H6">
        <v>0.4</v>
      </c>
      <c r="I6">
        <v>3</v>
      </c>
    </row>
    <row r="7" spans="1:9" x14ac:dyDescent="0.25">
      <c r="A7" t="s">
        <v>50</v>
      </c>
      <c r="B7" t="s">
        <v>65</v>
      </c>
      <c r="C7">
        <v>40</v>
      </c>
      <c r="D7">
        <v>36</v>
      </c>
      <c r="E7">
        <v>0</v>
      </c>
      <c r="F7">
        <v>0</v>
      </c>
      <c r="G7">
        <v>3</v>
      </c>
      <c r="H7">
        <v>0.4</v>
      </c>
      <c r="I7">
        <v>4</v>
      </c>
    </row>
    <row r="8" spans="1:9" x14ac:dyDescent="0.25">
      <c r="A8" t="s">
        <v>52</v>
      </c>
      <c r="B8" t="s">
        <v>117</v>
      </c>
      <c r="C8">
        <v>50</v>
      </c>
      <c r="D8">
        <v>-39</v>
      </c>
      <c r="E8">
        <v>-15</v>
      </c>
      <c r="F8">
        <v>0</v>
      </c>
      <c r="G8">
        <v>3</v>
      </c>
      <c r="H8">
        <v>0.3</v>
      </c>
      <c r="I8">
        <v>1</v>
      </c>
    </row>
    <row r="9" spans="1:9" x14ac:dyDescent="0.25">
      <c r="A9" t="s">
        <v>52</v>
      </c>
      <c r="B9" t="s">
        <v>117</v>
      </c>
      <c r="C9">
        <v>50</v>
      </c>
      <c r="D9">
        <v>39</v>
      </c>
      <c r="E9">
        <v>-15</v>
      </c>
      <c r="F9">
        <v>0</v>
      </c>
      <c r="G9">
        <v>3</v>
      </c>
      <c r="H9">
        <v>0.3</v>
      </c>
      <c r="I9">
        <v>1</v>
      </c>
    </row>
    <row r="10" spans="1:9" x14ac:dyDescent="0.25">
      <c r="A10" t="s">
        <v>52</v>
      </c>
      <c r="B10" t="s">
        <v>65</v>
      </c>
      <c r="C10">
        <v>50</v>
      </c>
      <c r="D10">
        <v>-26</v>
      </c>
      <c r="E10">
        <v>-22</v>
      </c>
      <c r="F10">
        <v>0</v>
      </c>
      <c r="G10">
        <v>3</v>
      </c>
      <c r="H10">
        <v>0.3</v>
      </c>
      <c r="I10">
        <v>2</v>
      </c>
    </row>
    <row r="11" spans="1:9" x14ac:dyDescent="0.25">
      <c r="A11" t="s">
        <v>52</v>
      </c>
      <c r="B11" t="s">
        <v>65</v>
      </c>
      <c r="C11">
        <v>50</v>
      </c>
      <c r="D11">
        <v>26</v>
      </c>
      <c r="E11">
        <v>-22</v>
      </c>
      <c r="F11">
        <v>0</v>
      </c>
      <c r="G11">
        <v>3</v>
      </c>
      <c r="H11">
        <v>0.3</v>
      </c>
      <c r="I11">
        <v>2</v>
      </c>
    </row>
    <row r="12" spans="1:9" x14ac:dyDescent="0.25">
      <c r="A12" t="s">
        <v>14</v>
      </c>
      <c r="B12" t="s">
        <v>59</v>
      </c>
      <c r="C12">
        <v>18</v>
      </c>
      <c r="D12">
        <v>0</v>
      </c>
      <c r="E12">
        <v>0</v>
      </c>
      <c r="F12">
        <v>0</v>
      </c>
      <c r="G12">
        <v>1</v>
      </c>
      <c r="H12">
        <v>0.4</v>
      </c>
      <c r="I12">
        <v>0</v>
      </c>
    </row>
    <row r="13" spans="1:9" x14ac:dyDescent="0.25">
      <c r="A13" t="s">
        <v>0</v>
      </c>
      <c r="B13" t="s">
        <v>119</v>
      </c>
      <c r="C13">
        <v>20</v>
      </c>
      <c r="D13">
        <v>-28</v>
      </c>
      <c r="E13">
        <v>-27</v>
      </c>
      <c r="F13">
        <v>0</v>
      </c>
      <c r="G13">
        <v>1</v>
      </c>
      <c r="H13">
        <v>0.4</v>
      </c>
      <c r="I13">
        <v>0</v>
      </c>
    </row>
    <row r="14" spans="1:9" x14ac:dyDescent="0.25">
      <c r="A14" t="s">
        <v>0</v>
      </c>
      <c r="B14" t="s">
        <v>119</v>
      </c>
      <c r="C14">
        <v>20</v>
      </c>
      <c r="D14">
        <v>28</v>
      </c>
      <c r="E14">
        <v>-27</v>
      </c>
      <c r="F14">
        <v>0</v>
      </c>
      <c r="G14">
        <v>1</v>
      </c>
      <c r="H14">
        <v>0.4</v>
      </c>
      <c r="I14">
        <v>0</v>
      </c>
    </row>
    <row r="15" spans="1:9" x14ac:dyDescent="0.25">
      <c r="A15" t="s">
        <v>2</v>
      </c>
      <c r="B15" t="s">
        <v>117</v>
      </c>
      <c r="C15">
        <v>30</v>
      </c>
      <c r="D15">
        <v>-44</v>
      </c>
      <c r="E15">
        <v>-30</v>
      </c>
      <c r="F15">
        <v>-10</v>
      </c>
      <c r="G15">
        <v>4</v>
      </c>
      <c r="H15">
        <v>0.6</v>
      </c>
      <c r="I15">
        <v>0</v>
      </c>
    </row>
    <row r="16" spans="1:9" x14ac:dyDescent="0.25">
      <c r="A16" t="s">
        <v>2</v>
      </c>
      <c r="B16" t="s">
        <v>117</v>
      </c>
      <c r="C16">
        <v>30</v>
      </c>
      <c r="D16">
        <v>44</v>
      </c>
      <c r="E16">
        <v>-30</v>
      </c>
      <c r="F16">
        <v>10</v>
      </c>
      <c r="G16">
        <v>4</v>
      </c>
      <c r="H16">
        <v>0.6</v>
      </c>
      <c r="I16">
        <v>0</v>
      </c>
    </row>
    <row r="17" spans="1:9" x14ac:dyDescent="0.25">
      <c r="A17" t="s">
        <v>2</v>
      </c>
      <c r="B17" t="s">
        <v>117</v>
      </c>
      <c r="C17">
        <v>30</v>
      </c>
      <c r="D17">
        <v>0</v>
      </c>
      <c r="E17">
        <v>0</v>
      </c>
      <c r="F17">
        <v>0</v>
      </c>
      <c r="G17">
        <v>4</v>
      </c>
      <c r="H17">
        <v>0.6</v>
      </c>
      <c r="I17">
        <v>0</v>
      </c>
    </row>
    <row r="18" spans="1:9" x14ac:dyDescent="0.25">
      <c r="A18" t="s">
        <v>38</v>
      </c>
      <c r="B18" t="s">
        <v>73</v>
      </c>
      <c r="C18">
        <v>66</v>
      </c>
      <c r="D18">
        <v>0</v>
      </c>
      <c r="E18">
        <v>0</v>
      </c>
      <c r="F18">
        <v>0</v>
      </c>
      <c r="G18">
        <v>0</v>
      </c>
      <c r="H18">
        <v>1</v>
      </c>
      <c r="I18">
        <v>0</v>
      </c>
    </row>
    <row r="19" spans="1:9" x14ac:dyDescent="0.25">
      <c r="A19" t="s">
        <v>26</v>
      </c>
      <c r="B19" t="s">
        <v>63</v>
      </c>
      <c r="C19">
        <v>20</v>
      </c>
      <c r="D19">
        <v>-47</v>
      </c>
      <c r="E19">
        <v>-60</v>
      </c>
      <c r="F19">
        <v>0</v>
      </c>
      <c r="G19">
        <v>3</v>
      </c>
      <c r="H19">
        <v>1</v>
      </c>
      <c r="I19">
        <v>0</v>
      </c>
    </row>
    <row r="20" spans="1:9" x14ac:dyDescent="0.25">
      <c r="A20" t="s">
        <v>26</v>
      </c>
      <c r="B20" t="s">
        <v>63</v>
      </c>
      <c r="C20">
        <v>20</v>
      </c>
      <c r="D20">
        <v>47</v>
      </c>
      <c r="E20">
        <v>-60</v>
      </c>
      <c r="F20">
        <v>0</v>
      </c>
      <c r="G20">
        <v>3</v>
      </c>
      <c r="H20">
        <v>1</v>
      </c>
      <c r="I20">
        <v>0</v>
      </c>
    </row>
    <row r="21" spans="1:9" x14ac:dyDescent="0.25">
      <c r="A21" t="s">
        <v>6</v>
      </c>
      <c r="B21" t="s">
        <v>63</v>
      </c>
      <c r="C21">
        <v>40</v>
      </c>
      <c r="D21">
        <v>-47</v>
      </c>
      <c r="E21">
        <v>-61</v>
      </c>
      <c r="F21">
        <v>0</v>
      </c>
      <c r="G21">
        <v>0</v>
      </c>
      <c r="H21">
        <v>1</v>
      </c>
      <c r="I21">
        <v>0</v>
      </c>
    </row>
    <row r="22" spans="1:9" x14ac:dyDescent="0.25">
      <c r="A22" t="s">
        <v>6</v>
      </c>
      <c r="B22" t="s">
        <v>63</v>
      </c>
      <c r="C22">
        <v>40</v>
      </c>
      <c r="D22">
        <v>47</v>
      </c>
      <c r="E22">
        <v>-61</v>
      </c>
      <c r="F22">
        <v>0</v>
      </c>
      <c r="G22">
        <v>0</v>
      </c>
      <c r="H22">
        <v>1</v>
      </c>
      <c r="I22">
        <v>0</v>
      </c>
    </row>
    <row r="23" spans="1:9" x14ac:dyDescent="0.25">
      <c r="A23" t="s">
        <v>6</v>
      </c>
      <c r="B23" t="s">
        <v>63</v>
      </c>
      <c r="C23">
        <v>40</v>
      </c>
      <c r="D23">
        <v>-33</v>
      </c>
      <c r="E23">
        <v>-44</v>
      </c>
      <c r="F23">
        <v>0</v>
      </c>
      <c r="G23">
        <v>0</v>
      </c>
      <c r="H23">
        <v>1</v>
      </c>
      <c r="I23">
        <v>0</v>
      </c>
    </row>
    <row r="24" spans="1:9" x14ac:dyDescent="0.25">
      <c r="A24" t="s">
        <v>6</v>
      </c>
      <c r="B24" t="s">
        <v>63</v>
      </c>
      <c r="C24">
        <v>40</v>
      </c>
      <c r="D24">
        <v>33</v>
      </c>
      <c r="E24">
        <v>-44</v>
      </c>
      <c r="F24">
        <v>0</v>
      </c>
      <c r="G24">
        <v>0</v>
      </c>
      <c r="H24">
        <v>1</v>
      </c>
      <c r="I24">
        <v>0</v>
      </c>
    </row>
    <row r="25" spans="1:9" x14ac:dyDescent="0.25">
      <c r="A25" t="s">
        <v>8</v>
      </c>
      <c r="B25" t="s">
        <v>63</v>
      </c>
      <c r="C25">
        <v>20</v>
      </c>
      <c r="D25">
        <v>-63</v>
      </c>
      <c r="E25">
        <v>-80</v>
      </c>
      <c r="F25">
        <v>0</v>
      </c>
      <c r="G25">
        <v>3</v>
      </c>
      <c r="H25">
        <v>1</v>
      </c>
      <c r="I25">
        <v>0</v>
      </c>
    </row>
    <row r="26" spans="1:9" x14ac:dyDescent="0.25">
      <c r="A26" t="s">
        <v>8</v>
      </c>
      <c r="B26" t="s">
        <v>63</v>
      </c>
      <c r="C26">
        <v>20</v>
      </c>
      <c r="D26">
        <v>-47</v>
      </c>
      <c r="E26">
        <v>-66</v>
      </c>
      <c r="F26">
        <v>0</v>
      </c>
      <c r="G26">
        <v>3</v>
      </c>
      <c r="H26">
        <v>1</v>
      </c>
      <c r="I26">
        <v>0</v>
      </c>
    </row>
    <row r="27" spans="1:9" x14ac:dyDescent="0.25">
      <c r="A27" t="s">
        <v>8</v>
      </c>
      <c r="B27" t="s">
        <v>63</v>
      </c>
      <c r="C27">
        <v>20</v>
      </c>
      <c r="D27">
        <v>-32</v>
      </c>
      <c r="E27">
        <v>-54</v>
      </c>
      <c r="F27">
        <v>0</v>
      </c>
      <c r="G27">
        <v>3</v>
      </c>
      <c r="H27">
        <v>1</v>
      </c>
      <c r="I27">
        <v>0</v>
      </c>
    </row>
    <row r="28" spans="1:9" x14ac:dyDescent="0.25">
      <c r="A28" t="s">
        <v>8</v>
      </c>
      <c r="B28" t="s">
        <v>63</v>
      </c>
      <c r="C28">
        <v>20</v>
      </c>
      <c r="D28">
        <v>32</v>
      </c>
      <c r="E28">
        <v>-54</v>
      </c>
      <c r="F28">
        <v>0</v>
      </c>
      <c r="G28">
        <v>3</v>
      </c>
      <c r="H28">
        <v>1</v>
      </c>
      <c r="I28">
        <v>0</v>
      </c>
    </row>
    <row r="29" spans="1:9" x14ac:dyDescent="0.25">
      <c r="A29" t="s">
        <v>8</v>
      </c>
      <c r="B29" t="s">
        <v>63</v>
      </c>
      <c r="C29">
        <v>20</v>
      </c>
      <c r="D29">
        <v>47</v>
      </c>
      <c r="E29">
        <v>-66</v>
      </c>
      <c r="F29">
        <v>0</v>
      </c>
      <c r="G29">
        <v>3</v>
      </c>
      <c r="H29">
        <v>1</v>
      </c>
      <c r="I29">
        <v>0</v>
      </c>
    </row>
    <row r="30" spans="1:9" x14ac:dyDescent="0.25">
      <c r="A30" t="s">
        <v>8</v>
      </c>
      <c r="B30" t="s">
        <v>63</v>
      </c>
      <c r="C30">
        <v>20</v>
      </c>
      <c r="D30">
        <v>63</v>
      </c>
      <c r="E30">
        <v>-80</v>
      </c>
      <c r="F30">
        <v>0</v>
      </c>
      <c r="G30">
        <v>3</v>
      </c>
      <c r="H30">
        <v>1</v>
      </c>
      <c r="I30">
        <v>0</v>
      </c>
    </row>
    <row r="31" spans="1:9" x14ac:dyDescent="0.25">
      <c r="A31" t="s">
        <v>34</v>
      </c>
      <c r="B31" t="s">
        <v>63</v>
      </c>
      <c r="C31">
        <v>10</v>
      </c>
      <c r="D31">
        <v>-55</v>
      </c>
      <c r="E31">
        <v>-78</v>
      </c>
      <c r="F31">
        <v>0</v>
      </c>
      <c r="G31">
        <v>0</v>
      </c>
      <c r="H31">
        <v>1</v>
      </c>
      <c r="I31">
        <v>0</v>
      </c>
    </row>
    <row r="32" spans="1:9" x14ac:dyDescent="0.25">
      <c r="A32" t="s">
        <v>34</v>
      </c>
      <c r="B32" t="s">
        <v>63</v>
      </c>
      <c r="C32">
        <v>20</v>
      </c>
      <c r="D32">
        <v>-30</v>
      </c>
      <c r="E32">
        <v>-39</v>
      </c>
      <c r="F32">
        <v>0</v>
      </c>
      <c r="G32">
        <v>0</v>
      </c>
      <c r="H32">
        <v>1</v>
      </c>
      <c r="I32">
        <v>0</v>
      </c>
    </row>
    <row r="33" spans="1:9" x14ac:dyDescent="0.25">
      <c r="A33" t="s">
        <v>34</v>
      </c>
      <c r="B33" t="s">
        <v>63</v>
      </c>
      <c r="C33">
        <v>30</v>
      </c>
      <c r="D33">
        <v>-5</v>
      </c>
      <c r="E33">
        <v>0</v>
      </c>
      <c r="F33">
        <v>0</v>
      </c>
      <c r="G33">
        <v>0</v>
      </c>
      <c r="H33">
        <v>1</v>
      </c>
      <c r="I33">
        <v>0</v>
      </c>
    </row>
    <row r="34" spans="1:9" x14ac:dyDescent="0.25">
      <c r="A34" t="s">
        <v>34</v>
      </c>
      <c r="B34" t="s">
        <v>63</v>
      </c>
      <c r="C34">
        <v>30</v>
      </c>
      <c r="D34">
        <v>5</v>
      </c>
      <c r="E34">
        <v>0</v>
      </c>
      <c r="F34">
        <v>0</v>
      </c>
      <c r="G34">
        <v>0</v>
      </c>
      <c r="H34">
        <v>1</v>
      </c>
      <c r="I34">
        <v>0</v>
      </c>
    </row>
    <row r="35" spans="1:9" x14ac:dyDescent="0.25">
      <c r="A35" t="s">
        <v>34</v>
      </c>
      <c r="B35" t="s">
        <v>63</v>
      </c>
      <c r="C35">
        <v>20</v>
      </c>
      <c r="D35">
        <v>30</v>
      </c>
      <c r="E35">
        <v>-39</v>
      </c>
      <c r="F35">
        <v>0</v>
      </c>
      <c r="G35">
        <v>0</v>
      </c>
      <c r="H35">
        <v>1</v>
      </c>
      <c r="I35">
        <v>0</v>
      </c>
    </row>
    <row r="36" spans="1:9" x14ac:dyDescent="0.25">
      <c r="A36" t="s">
        <v>34</v>
      </c>
      <c r="B36" t="s">
        <v>63</v>
      </c>
      <c r="C36">
        <v>10</v>
      </c>
      <c r="D36">
        <v>55</v>
      </c>
      <c r="E36">
        <v>-78</v>
      </c>
      <c r="F36">
        <v>0</v>
      </c>
      <c r="G36">
        <v>0</v>
      </c>
      <c r="H36">
        <v>1</v>
      </c>
      <c r="I36">
        <v>0</v>
      </c>
    </row>
    <row r="37" spans="1:9" x14ac:dyDescent="0.25">
      <c r="A37" t="s">
        <v>42</v>
      </c>
      <c r="B37" t="s">
        <v>65</v>
      </c>
      <c r="C37">
        <v>100</v>
      </c>
      <c r="D37">
        <v>0</v>
      </c>
      <c r="E37">
        <v>-14</v>
      </c>
      <c r="F37">
        <v>0</v>
      </c>
      <c r="G37">
        <v>0</v>
      </c>
      <c r="H37">
        <v>1</v>
      </c>
      <c r="I37">
        <v>0</v>
      </c>
    </row>
    <row r="38" spans="1:9" x14ac:dyDescent="0.25">
      <c r="A38" t="s">
        <v>56</v>
      </c>
      <c r="B38" t="s">
        <v>63</v>
      </c>
      <c r="C38">
        <v>15</v>
      </c>
      <c r="D38">
        <v>-36</v>
      </c>
      <c r="E38">
        <v>0</v>
      </c>
      <c r="F38">
        <v>0</v>
      </c>
      <c r="G38">
        <v>0</v>
      </c>
      <c r="H38">
        <v>1</v>
      </c>
      <c r="I38">
        <v>0</v>
      </c>
    </row>
    <row r="39" spans="1:9" x14ac:dyDescent="0.25">
      <c r="A39" t="s">
        <v>56</v>
      </c>
      <c r="B39" t="s">
        <v>63</v>
      </c>
      <c r="C39">
        <v>15</v>
      </c>
      <c r="D39">
        <v>36</v>
      </c>
      <c r="E39">
        <v>0</v>
      </c>
      <c r="F39">
        <v>0</v>
      </c>
      <c r="G39">
        <v>0</v>
      </c>
      <c r="H39">
        <v>1</v>
      </c>
      <c r="I39">
        <v>0</v>
      </c>
    </row>
    <row r="40" spans="1:9" x14ac:dyDescent="0.25">
      <c r="A40" t="s">
        <v>4</v>
      </c>
      <c r="B40" t="s">
        <v>63</v>
      </c>
      <c r="C40">
        <v>80</v>
      </c>
      <c r="D40">
        <v>-36</v>
      </c>
      <c r="E40">
        <v>0</v>
      </c>
      <c r="F40">
        <v>0</v>
      </c>
      <c r="G40">
        <v>1</v>
      </c>
      <c r="H40">
        <v>1</v>
      </c>
      <c r="I40">
        <v>0</v>
      </c>
    </row>
    <row r="41" spans="1:9" x14ac:dyDescent="0.25">
      <c r="A41" t="s">
        <v>4</v>
      </c>
      <c r="B41" t="s">
        <v>63</v>
      </c>
      <c r="C41">
        <v>80</v>
      </c>
      <c r="D41">
        <v>36</v>
      </c>
      <c r="E41">
        <v>0</v>
      </c>
      <c r="F41">
        <v>0</v>
      </c>
      <c r="G41">
        <v>1</v>
      </c>
      <c r="H41">
        <v>1</v>
      </c>
      <c r="I41">
        <v>0</v>
      </c>
    </row>
    <row r="42" spans="1:9" x14ac:dyDescent="0.25">
      <c r="A42" t="s">
        <v>22</v>
      </c>
      <c r="B42" t="s">
        <v>63</v>
      </c>
      <c r="C42">
        <v>120</v>
      </c>
      <c r="D42">
        <v>-36</v>
      </c>
      <c r="E42">
        <v>-5</v>
      </c>
      <c r="F42">
        <v>0</v>
      </c>
      <c r="G42">
        <v>0</v>
      </c>
      <c r="H42">
        <v>1</v>
      </c>
      <c r="I42">
        <v>0</v>
      </c>
    </row>
    <row r="43" spans="1:9" x14ac:dyDescent="0.25">
      <c r="A43" t="s">
        <v>22</v>
      </c>
      <c r="B43" t="s">
        <v>63</v>
      </c>
      <c r="C43">
        <v>120</v>
      </c>
      <c r="D43">
        <v>36</v>
      </c>
      <c r="E43">
        <v>-5</v>
      </c>
      <c r="F43">
        <v>0</v>
      </c>
      <c r="G43">
        <v>0</v>
      </c>
      <c r="H43">
        <v>1</v>
      </c>
      <c r="I43">
        <v>0</v>
      </c>
    </row>
    <row r="44" spans="1:9" x14ac:dyDescent="0.25">
      <c r="A44" t="s">
        <v>44</v>
      </c>
      <c r="B44" t="s">
        <v>61</v>
      </c>
      <c r="C44">
        <v>5</v>
      </c>
      <c r="D44">
        <v>0</v>
      </c>
      <c r="E44">
        <v>0</v>
      </c>
      <c r="F44">
        <v>0</v>
      </c>
      <c r="G44">
        <v>0</v>
      </c>
      <c r="H44">
        <v>1</v>
      </c>
      <c r="I44">
        <v>0</v>
      </c>
    </row>
    <row r="45" spans="1:9" x14ac:dyDescent="0.25">
      <c r="A45" t="s">
        <v>54</v>
      </c>
      <c r="B45" t="s">
        <v>67</v>
      </c>
      <c r="C45">
        <v>0</v>
      </c>
      <c r="D45">
        <v>0</v>
      </c>
      <c r="E45">
        <v>0</v>
      </c>
      <c r="F45">
        <v>0</v>
      </c>
      <c r="G45">
        <v>1</v>
      </c>
      <c r="H45">
        <v>0.5</v>
      </c>
      <c r="I45">
        <v>0</v>
      </c>
    </row>
    <row r="46" spans="1:9" x14ac:dyDescent="0.25">
      <c r="A46" t="s">
        <v>10</v>
      </c>
      <c r="B46" t="s">
        <v>59</v>
      </c>
      <c r="C46">
        <v>10</v>
      </c>
      <c r="D46">
        <v>0</v>
      </c>
      <c r="E46">
        <v>0</v>
      </c>
      <c r="F46">
        <v>0</v>
      </c>
      <c r="G46">
        <v>1</v>
      </c>
      <c r="H46">
        <v>1</v>
      </c>
      <c r="I46">
        <v>0</v>
      </c>
    </row>
    <row r="47" spans="1:9" x14ac:dyDescent="0.25">
      <c r="A47" t="s">
        <v>46</v>
      </c>
      <c r="B47" t="s">
        <v>59</v>
      </c>
      <c r="C47">
        <v>40</v>
      </c>
      <c r="D47">
        <v>0</v>
      </c>
      <c r="E47">
        <v>0</v>
      </c>
      <c r="F47">
        <v>5</v>
      </c>
      <c r="G47">
        <v>2</v>
      </c>
      <c r="H47">
        <v>1</v>
      </c>
      <c r="I47">
        <v>0</v>
      </c>
    </row>
    <row r="48" spans="1:9" x14ac:dyDescent="0.25">
      <c r="A48" t="s">
        <v>46</v>
      </c>
      <c r="B48" t="s">
        <v>59</v>
      </c>
      <c r="C48">
        <v>40</v>
      </c>
      <c r="D48">
        <v>0</v>
      </c>
      <c r="E48">
        <v>0</v>
      </c>
      <c r="F48">
        <v>-5</v>
      </c>
      <c r="G48">
        <v>2</v>
      </c>
      <c r="H48">
        <v>1</v>
      </c>
      <c r="I48">
        <v>0</v>
      </c>
    </row>
    <row r="49" spans="1:9" x14ac:dyDescent="0.25">
      <c r="A49" t="s">
        <v>20</v>
      </c>
      <c r="B49" t="s">
        <v>63</v>
      </c>
      <c r="C49">
        <v>10</v>
      </c>
      <c r="D49">
        <v>-68</v>
      </c>
      <c r="E49">
        <v>0</v>
      </c>
      <c r="F49">
        <v>0</v>
      </c>
      <c r="G49">
        <v>0</v>
      </c>
      <c r="H49">
        <v>1</v>
      </c>
      <c r="I49">
        <v>0</v>
      </c>
    </row>
    <row r="50" spans="1:9" x14ac:dyDescent="0.25">
      <c r="A50" t="s">
        <v>20</v>
      </c>
      <c r="B50" t="s">
        <v>63</v>
      </c>
      <c r="C50">
        <v>10</v>
      </c>
      <c r="D50">
        <v>68</v>
      </c>
      <c r="E50">
        <v>0</v>
      </c>
      <c r="F50">
        <v>0</v>
      </c>
      <c r="G50">
        <v>0</v>
      </c>
      <c r="H50">
        <v>1</v>
      </c>
      <c r="I50">
        <v>0</v>
      </c>
    </row>
    <row r="51" spans="1:9" x14ac:dyDescent="0.25">
      <c r="A51" t="s">
        <v>28</v>
      </c>
      <c r="B51" t="s">
        <v>63</v>
      </c>
      <c r="C51">
        <v>33</v>
      </c>
      <c r="D51">
        <v>-74</v>
      </c>
      <c r="E51">
        <v>0</v>
      </c>
      <c r="F51">
        <v>0</v>
      </c>
      <c r="G51">
        <v>5</v>
      </c>
      <c r="H51">
        <v>1</v>
      </c>
      <c r="I51">
        <v>0</v>
      </c>
    </row>
    <row r="52" spans="1:9" x14ac:dyDescent="0.25">
      <c r="A52" t="s">
        <v>28</v>
      </c>
      <c r="B52" t="s">
        <v>63</v>
      </c>
      <c r="C52">
        <v>33</v>
      </c>
      <c r="D52">
        <v>-39</v>
      </c>
      <c r="E52">
        <v>-8</v>
      </c>
      <c r="F52">
        <v>0</v>
      </c>
      <c r="G52">
        <v>5</v>
      </c>
      <c r="H52">
        <v>1</v>
      </c>
      <c r="I52">
        <v>0</v>
      </c>
    </row>
    <row r="53" spans="1:9" x14ac:dyDescent="0.25">
      <c r="A53" t="s">
        <v>28</v>
      </c>
      <c r="B53" t="s">
        <v>63</v>
      </c>
      <c r="C53">
        <v>33</v>
      </c>
      <c r="D53">
        <v>39</v>
      </c>
      <c r="E53">
        <v>-8</v>
      </c>
      <c r="F53">
        <v>0</v>
      </c>
      <c r="G53">
        <v>5</v>
      </c>
      <c r="H53">
        <v>1</v>
      </c>
      <c r="I53">
        <v>0</v>
      </c>
    </row>
    <row r="54" spans="1:9" x14ac:dyDescent="0.25">
      <c r="A54" t="s">
        <v>28</v>
      </c>
      <c r="B54" t="s">
        <v>63</v>
      </c>
      <c r="C54">
        <v>33</v>
      </c>
      <c r="D54">
        <v>74</v>
      </c>
      <c r="E54">
        <v>0</v>
      </c>
      <c r="F54">
        <v>0</v>
      </c>
      <c r="G54">
        <v>5</v>
      </c>
      <c r="H54">
        <v>1</v>
      </c>
      <c r="I54">
        <v>0</v>
      </c>
    </row>
    <row r="55" spans="1:9" x14ac:dyDescent="0.25">
      <c r="A55" t="s">
        <v>30</v>
      </c>
      <c r="B55" t="s">
        <v>63</v>
      </c>
      <c r="C55">
        <v>40</v>
      </c>
      <c r="D55">
        <v>-127</v>
      </c>
      <c r="E55">
        <v>0</v>
      </c>
      <c r="F55">
        <v>0</v>
      </c>
      <c r="G55">
        <v>4</v>
      </c>
      <c r="H55">
        <v>1</v>
      </c>
      <c r="I55">
        <v>0</v>
      </c>
    </row>
    <row r="56" spans="1:9" x14ac:dyDescent="0.25">
      <c r="A56" t="s">
        <v>30</v>
      </c>
      <c r="B56" t="s">
        <v>63</v>
      </c>
      <c r="C56">
        <v>40</v>
      </c>
      <c r="D56">
        <v>-87</v>
      </c>
      <c r="E56">
        <v>0</v>
      </c>
      <c r="F56">
        <v>0</v>
      </c>
      <c r="G56">
        <v>4</v>
      </c>
      <c r="H56">
        <v>1</v>
      </c>
      <c r="I56">
        <v>0</v>
      </c>
    </row>
    <row r="57" spans="1:9" x14ac:dyDescent="0.25">
      <c r="A57" t="s">
        <v>30</v>
      </c>
      <c r="B57" t="s">
        <v>63</v>
      </c>
      <c r="C57">
        <v>40</v>
      </c>
      <c r="D57">
        <v>-46</v>
      </c>
      <c r="E57">
        <v>0</v>
      </c>
      <c r="F57">
        <v>0</v>
      </c>
      <c r="G57">
        <v>4</v>
      </c>
      <c r="H57">
        <v>1</v>
      </c>
      <c r="I57">
        <v>0</v>
      </c>
    </row>
    <row r="58" spans="1:9" x14ac:dyDescent="0.25">
      <c r="A58" t="s">
        <v>30</v>
      </c>
      <c r="B58" t="s">
        <v>63</v>
      </c>
      <c r="C58">
        <v>40</v>
      </c>
      <c r="D58">
        <v>46</v>
      </c>
      <c r="E58">
        <v>0</v>
      </c>
      <c r="F58">
        <v>0</v>
      </c>
      <c r="G58">
        <v>4</v>
      </c>
      <c r="H58">
        <v>1</v>
      </c>
      <c r="I58">
        <v>0</v>
      </c>
    </row>
    <row r="59" spans="1:9" x14ac:dyDescent="0.25">
      <c r="A59" t="s">
        <v>30</v>
      </c>
      <c r="B59" t="s">
        <v>63</v>
      </c>
      <c r="C59">
        <v>40</v>
      </c>
      <c r="D59">
        <v>87</v>
      </c>
      <c r="E59">
        <v>0</v>
      </c>
      <c r="F59">
        <v>0</v>
      </c>
      <c r="G59">
        <v>4</v>
      </c>
      <c r="H59">
        <v>1</v>
      </c>
      <c r="I59">
        <v>0</v>
      </c>
    </row>
    <row r="60" spans="1:9" x14ac:dyDescent="0.25">
      <c r="A60" t="s">
        <v>30</v>
      </c>
      <c r="B60" t="s">
        <v>63</v>
      </c>
      <c r="C60">
        <v>40</v>
      </c>
      <c r="D60">
        <v>127</v>
      </c>
      <c r="E60">
        <v>0</v>
      </c>
      <c r="F60">
        <v>0</v>
      </c>
      <c r="G60">
        <v>4</v>
      </c>
      <c r="H60">
        <v>1</v>
      </c>
      <c r="I60">
        <v>0</v>
      </c>
    </row>
    <row r="61" spans="1:9" x14ac:dyDescent="0.25">
      <c r="A61" t="s">
        <v>58</v>
      </c>
      <c r="B61" t="s">
        <v>63</v>
      </c>
      <c r="C61">
        <v>40</v>
      </c>
      <c r="D61">
        <v>-127</v>
      </c>
      <c r="E61">
        <v>0</v>
      </c>
      <c r="F61">
        <v>0</v>
      </c>
      <c r="G61">
        <v>4</v>
      </c>
      <c r="H61">
        <v>1</v>
      </c>
      <c r="I61">
        <v>0</v>
      </c>
    </row>
    <row r="62" spans="1:9" x14ac:dyDescent="0.25">
      <c r="A62" t="s">
        <v>58</v>
      </c>
      <c r="B62" t="s">
        <v>63</v>
      </c>
      <c r="C62">
        <v>40</v>
      </c>
      <c r="D62">
        <v>-87</v>
      </c>
      <c r="E62">
        <v>0</v>
      </c>
      <c r="F62">
        <v>0</v>
      </c>
      <c r="G62">
        <v>4</v>
      </c>
      <c r="H62">
        <v>1</v>
      </c>
      <c r="I62">
        <v>0</v>
      </c>
    </row>
    <row r="63" spans="1:9" x14ac:dyDescent="0.25">
      <c r="A63" t="s">
        <v>58</v>
      </c>
      <c r="B63" t="s">
        <v>63</v>
      </c>
      <c r="C63">
        <v>40</v>
      </c>
      <c r="D63">
        <v>-46</v>
      </c>
      <c r="E63">
        <v>0</v>
      </c>
      <c r="F63">
        <v>0</v>
      </c>
      <c r="G63">
        <v>4</v>
      </c>
      <c r="H63">
        <v>1</v>
      </c>
      <c r="I63">
        <v>0</v>
      </c>
    </row>
    <row r="64" spans="1:9" x14ac:dyDescent="0.25">
      <c r="A64" t="s">
        <v>58</v>
      </c>
      <c r="B64" t="s">
        <v>63</v>
      </c>
      <c r="C64">
        <v>40</v>
      </c>
      <c r="D64">
        <v>46</v>
      </c>
      <c r="E64">
        <v>0</v>
      </c>
      <c r="F64">
        <v>0</v>
      </c>
      <c r="G64">
        <v>4</v>
      </c>
      <c r="H64">
        <v>1</v>
      </c>
      <c r="I64">
        <v>0</v>
      </c>
    </row>
    <row r="65" spans="1:9" x14ac:dyDescent="0.25">
      <c r="A65" t="s">
        <v>58</v>
      </c>
      <c r="B65" t="s">
        <v>63</v>
      </c>
      <c r="C65">
        <v>40</v>
      </c>
      <c r="D65">
        <v>87</v>
      </c>
      <c r="E65">
        <v>0</v>
      </c>
      <c r="F65">
        <v>0</v>
      </c>
      <c r="G65">
        <v>4</v>
      </c>
      <c r="H65">
        <v>1</v>
      </c>
      <c r="I65">
        <v>0</v>
      </c>
    </row>
    <row r="66" spans="1:9" x14ac:dyDescent="0.25">
      <c r="A66" t="s">
        <v>58</v>
      </c>
      <c r="B66" t="s">
        <v>63</v>
      </c>
      <c r="C66">
        <v>40</v>
      </c>
      <c r="D66">
        <v>127</v>
      </c>
      <c r="E66">
        <v>0</v>
      </c>
      <c r="F66">
        <v>0</v>
      </c>
      <c r="G66">
        <v>4</v>
      </c>
      <c r="H66">
        <v>1</v>
      </c>
      <c r="I66">
        <v>0</v>
      </c>
    </row>
    <row r="67" spans="1:9" x14ac:dyDescent="0.25">
      <c r="A67" t="s">
        <v>32</v>
      </c>
      <c r="B67" t="s">
        <v>63</v>
      </c>
      <c r="C67">
        <v>10</v>
      </c>
      <c r="D67">
        <v>-65</v>
      </c>
      <c r="E67">
        <v>-55</v>
      </c>
      <c r="F67">
        <v>0</v>
      </c>
      <c r="G67">
        <v>0</v>
      </c>
      <c r="H67">
        <v>1</v>
      </c>
      <c r="I67">
        <v>0</v>
      </c>
    </row>
    <row r="68" spans="1:9" x14ac:dyDescent="0.25">
      <c r="A68" t="s">
        <v>32</v>
      </c>
      <c r="B68" t="s">
        <v>63</v>
      </c>
      <c r="C68">
        <v>20</v>
      </c>
      <c r="D68">
        <v>-38</v>
      </c>
      <c r="E68">
        <v>-17</v>
      </c>
      <c r="F68">
        <v>0</v>
      </c>
      <c r="G68">
        <v>0</v>
      </c>
      <c r="H68">
        <v>1</v>
      </c>
      <c r="I68">
        <v>0</v>
      </c>
    </row>
    <row r="69" spans="1:9" x14ac:dyDescent="0.25">
      <c r="A69" t="s">
        <v>32</v>
      </c>
      <c r="B69" t="s">
        <v>63</v>
      </c>
      <c r="C69">
        <v>20</v>
      </c>
      <c r="D69">
        <v>38</v>
      </c>
      <c r="E69">
        <v>-17</v>
      </c>
      <c r="F69">
        <v>0</v>
      </c>
      <c r="G69">
        <v>0</v>
      </c>
      <c r="H69">
        <v>1</v>
      </c>
      <c r="I69">
        <v>0</v>
      </c>
    </row>
    <row r="70" spans="1:9" x14ac:dyDescent="0.25">
      <c r="A70" t="s">
        <v>32</v>
      </c>
      <c r="B70" t="s">
        <v>63</v>
      </c>
      <c r="C70">
        <v>10</v>
      </c>
      <c r="D70">
        <v>65</v>
      </c>
      <c r="E70">
        <v>-55</v>
      </c>
      <c r="F70">
        <v>0</v>
      </c>
      <c r="G70">
        <v>0</v>
      </c>
      <c r="H70">
        <v>1</v>
      </c>
      <c r="I70">
        <v>0</v>
      </c>
    </row>
    <row r="71" spans="1:9" x14ac:dyDescent="0.25">
      <c r="A71" t="s">
        <v>40</v>
      </c>
      <c r="B71" t="s">
        <v>63</v>
      </c>
      <c r="C71">
        <v>20</v>
      </c>
      <c r="D71">
        <v>-38</v>
      </c>
      <c r="E71">
        <v>-17</v>
      </c>
      <c r="F71">
        <v>0</v>
      </c>
      <c r="G71">
        <v>0</v>
      </c>
      <c r="H71">
        <v>1</v>
      </c>
      <c r="I71">
        <v>0</v>
      </c>
    </row>
    <row r="72" spans="1:9" x14ac:dyDescent="0.25">
      <c r="A72" t="s">
        <v>40</v>
      </c>
      <c r="B72" t="s">
        <v>63</v>
      </c>
      <c r="C72">
        <v>20</v>
      </c>
      <c r="D72">
        <v>38</v>
      </c>
      <c r="E72">
        <v>-17</v>
      </c>
      <c r="F72">
        <v>0</v>
      </c>
      <c r="G72">
        <v>0</v>
      </c>
      <c r="H72">
        <v>1</v>
      </c>
      <c r="I72">
        <v>0</v>
      </c>
    </row>
    <row r="73" spans="1:9" x14ac:dyDescent="0.25">
      <c r="A73" t="s">
        <v>18</v>
      </c>
      <c r="B73" t="s">
        <v>73</v>
      </c>
      <c r="C73">
        <v>40</v>
      </c>
      <c r="D73">
        <v>-40</v>
      </c>
      <c r="E73">
        <v>-47</v>
      </c>
      <c r="F73">
        <v>0</v>
      </c>
      <c r="G73">
        <v>0</v>
      </c>
      <c r="H73">
        <v>1</v>
      </c>
      <c r="I73">
        <v>0</v>
      </c>
    </row>
    <row r="74" spans="1:9" x14ac:dyDescent="0.25">
      <c r="A74" t="s">
        <v>18</v>
      </c>
      <c r="B74" t="s">
        <v>73</v>
      </c>
      <c r="C74">
        <v>40</v>
      </c>
      <c r="D74">
        <v>40</v>
      </c>
      <c r="E74">
        <v>-47</v>
      </c>
      <c r="F74">
        <v>0</v>
      </c>
      <c r="G74">
        <v>0</v>
      </c>
      <c r="H74">
        <v>1</v>
      </c>
      <c r="I74">
        <v>0</v>
      </c>
    </row>
    <row r="75" spans="1:9" x14ac:dyDescent="0.25">
      <c r="A75" t="s">
        <v>16</v>
      </c>
      <c r="B75" t="s">
        <v>73</v>
      </c>
      <c r="C75">
        <v>55</v>
      </c>
      <c r="D75">
        <v>-40</v>
      </c>
      <c r="E75">
        <v>-50</v>
      </c>
      <c r="F75">
        <v>0</v>
      </c>
      <c r="G75">
        <v>0</v>
      </c>
      <c r="H75">
        <v>1</v>
      </c>
      <c r="I75">
        <v>0</v>
      </c>
    </row>
    <row r="76" spans="1:9" x14ac:dyDescent="0.25">
      <c r="A76" t="s">
        <v>16</v>
      </c>
      <c r="B76" t="s">
        <v>73</v>
      </c>
      <c r="C76">
        <v>55</v>
      </c>
      <c r="D76">
        <v>40</v>
      </c>
      <c r="E76">
        <v>-50</v>
      </c>
      <c r="F76">
        <v>0</v>
      </c>
      <c r="G76">
        <v>0</v>
      </c>
      <c r="H76">
        <v>1</v>
      </c>
      <c r="I76">
        <v>0</v>
      </c>
    </row>
    <row r="77" spans="1:9" x14ac:dyDescent="0.25">
      <c r="A77" t="s">
        <v>48</v>
      </c>
      <c r="B77" t="s">
        <v>65</v>
      </c>
      <c r="C77">
        <v>150</v>
      </c>
      <c r="D77">
        <v>-75</v>
      </c>
      <c r="E77">
        <v>-57</v>
      </c>
      <c r="F77">
        <v>0</v>
      </c>
      <c r="G77">
        <v>0</v>
      </c>
      <c r="H77">
        <v>1</v>
      </c>
      <c r="I77">
        <v>0</v>
      </c>
    </row>
    <row r="78" spans="1:9" x14ac:dyDescent="0.25">
      <c r="A78" t="s">
        <v>48</v>
      </c>
      <c r="B78" t="s">
        <v>65</v>
      </c>
      <c r="C78">
        <v>150</v>
      </c>
      <c r="D78">
        <v>75</v>
      </c>
      <c r="E78">
        <v>-57</v>
      </c>
      <c r="F78">
        <v>0</v>
      </c>
      <c r="G78">
        <v>0</v>
      </c>
      <c r="H78">
        <v>1</v>
      </c>
      <c r="I78">
        <v>0</v>
      </c>
    </row>
    <row r="79" spans="1:9" x14ac:dyDescent="0.25">
      <c r="A79" t="s">
        <v>48</v>
      </c>
      <c r="B79" t="s">
        <v>65</v>
      </c>
      <c r="C79">
        <v>150</v>
      </c>
      <c r="D79">
        <v>-36</v>
      </c>
      <c r="E79">
        <v>-33</v>
      </c>
      <c r="F79">
        <v>0</v>
      </c>
      <c r="G79">
        <v>0</v>
      </c>
      <c r="H79">
        <v>1</v>
      </c>
      <c r="I79">
        <v>0</v>
      </c>
    </row>
    <row r="80" spans="1:9" x14ac:dyDescent="0.25">
      <c r="A80" t="s">
        <v>48</v>
      </c>
      <c r="B80" t="s">
        <v>65</v>
      </c>
      <c r="C80">
        <v>150</v>
      </c>
      <c r="D80">
        <v>36</v>
      </c>
      <c r="E80">
        <v>-33</v>
      </c>
      <c r="F80">
        <v>0</v>
      </c>
      <c r="G80">
        <v>0</v>
      </c>
      <c r="H80">
        <v>1</v>
      </c>
      <c r="I80">
        <v>0</v>
      </c>
    </row>
    <row r="81" spans="1:9" x14ac:dyDescent="0.25">
      <c r="A81" t="s">
        <v>99</v>
      </c>
      <c r="B81" t="s">
        <v>69</v>
      </c>
      <c r="C81">
        <v>20</v>
      </c>
      <c r="D81">
        <v>0</v>
      </c>
      <c r="E81">
        <v>-10</v>
      </c>
      <c r="F81">
        <v>0</v>
      </c>
      <c r="G81">
        <v>0</v>
      </c>
      <c r="H81">
        <v>0.5</v>
      </c>
      <c r="I81">
        <v>0</v>
      </c>
    </row>
    <row r="82" spans="1:9" x14ac:dyDescent="0.25">
      <c r="A82" t="s">
        <v>100</v>
      </c>
      <c r="B82" t="s">
        <v>69</v>
      </c>
      <c r="C82">
        <v>26</v>
      </c>
      <c r="D82">
        <v>0</v>
      </c>
      <c r="E82">
        <v>0</v>
      </c>
      <c r="F82">
        <v>0</v>
      </c>
      <c r="G82">
        <v>0</v>
      </c>
      <c r="H82">
        <v>0.5</v>
      </c>
      <c r="I82">
        <v>1</v>
      </c>
    </row>
    <row r="83" spans="1:9" x14ac:dyDescent="0.25">
      <c r="A83" t="s">
        <v>100</v>
      </c>
      <c r="B83" t="s">
        <v>69</v>
      </c>
      <c r="C83">
        <v>26</v>
      </c>
      <c r="D83">
        <v>-29</v>
      </c>
      <c r="E83">
        <v>-74</v>
      </c>
      <c r="F83">
        <v>-5</v>
      </c>
      <c r="G83">
        <v>0</v>
      </c>
      <c r="H83">
        <v>0.5</v>
      </c>
      <c r="I83">
        <v>2</v>
      </c>
    </row>
    <row r="84" spans="1:9" x14ac:dyDescent="0.25">
      <c r="A84" t="s">
        <v>100</v>
      </c>
      <c r="B84" t="s">
        <v>69</v>
      </c>
      <c r="C84">
        <v>26</v>
      </c>
      <c r="D84">
        <v>29</v>
      </c>
      <c r="E84">
        <v>-74</v>
      </c>
      <c r="F84">
        <v>5</v>
      </c>
      <c r="G84">
        <v>0</v>
      </c>
      <c r="H84">
        <v>0.5</v>
      </c>
      <c r="I84">
        <v>2</v>
      </c>
    </row>
    <row r="85" spans="1:9" x14ac:dyDescent="0.25">
      <c r="A85" t="s">
        <v>96</v>
      </c>
      <c r="B85" t="s">
        <v>73</v>
      </c>
      <c r="C85">
        <v>60</v>
      </c>
      <c r="D85">
        <v>0</v>
      </c>
      <c r="E85">
        <v>0</v>
      </c>
      <c r="F85">
        <v>-2.5</v>
      </c>
      <c r="G85">
        <v>0</v>
      </c>
      <c r="H85">
        <v>1</v>
      </c>
      <c r="I85">
        <v>0</v>
      </c>
    </row>
    <row r="86" spans="1:9" x14ac:dyDescent="0.25">
      <c r="A86" t="s">
        <v>96</v>
      </c>
      <c r="B86" t="s">
        <v>73</v>
      </c>
      <c r="C86">
        <v>60</v>
      </c>
      <c r="D86">
        <v>0</v>
      </c>
      <c r="E86">
        <v>0</v>
      </c>
      <c r="F86">
        <v>2.5</v>
      </c>
      <c r="G86">
        <v>0</v>
      </c>
      <c r="H86">
        <v>1</v>
      </c>
      <c r="I86">
        <v>0</v>
      </c>
    </row>
    <row r="87" spans="1:9" x14ac:dyDescent="0.25">
      <c r="A87" t="s">
        <v>97</v>
      </c>
      <c r="B87" t="s">
        <v>65</v>
      </c>
      <c r="C87">
        <v>100</v>
      </c>
      <c r="D87">
        <v>-20</v>
      </c>
      <c r="E87">
        <v>0</v>
      </c>
      <c r="F87">
        <v>-10</v>
      </c>
      <c r="G87">
        <v>0</v>
      </c>
      <c r="H87">
        <v>1</v>
      </c>
      <c r="I87">
        <v>0</v>
      </c>
    </row>
    <row r="88" spans="1:9" x14ac:dyDescent="0.25">
      <c r="A88" t="s">
        <v>97</v>
      </c>
      <c r="B88" t="s">
        <v>65</v>
      </c>
      <c r="C88">
        <v>100</v>
      </c>
      <c r="D88">
        <v>0</v>
      </c>
      <c r="E88">
        <v>0</v>
      </c>
      <c r="F88">
        <v>0</v>
      </c>
      <c r="G88">
        <v>0</v>
      </c>
      <c r="H88">
        <v>1</v>
      </c>
      <c r="I88">
        <v>0</v>
      </c>
    </row>
    <row r="89" spans="1:9" x14ac:dyDescent="0.25">
      <c r="A89" t="s">
        <v>97</v>
      </c>
      <c r="B89" t="s">
        <v>65</v>
      </c>
      <c r="C89">
        <v>100</v>
      </c>
      <c r="D89">
        <v>20</v>
      </c>
      <c r="E89">
        <v>0</v>
      </c>
      <c r="F89">
        <v>10</v>
      </c>
      <c r="G89">
        <v>0</v>
      </c>
      <c r="H89">
        <v>1</v>
      </c>
      <c r="I89">
        <v>0</v>
      </c>
    </row>
    <row r="90" spans="1:9" x14ac:dyDescent="0.25">
      <c r="A90" t="s">
        <v>98</v>
      </c>
      <c r="B90" t="s">
        <v>71</v>
      </c>
      <c r="C90">
        <v>75</v>
      </c>
      <c r="D90">
        <v>-60</v>
      </c>
      <c r="E90">
        <v>-79</v>
      </c>
      <c r="F90">
        <v>-90</v>
      </c>
      <c r="G90">
        <v>0</v>
      </c>
      <c r="H90">
        <v>0.5</v>
      </c>
      <c r="I90">
        <v>0</v>
      </c>
    </row>
    <row r="91" spans="1:9" x14ac:dyDescent="0.25">
      <c r="A91" t="s">
        <v>98</v>
      </c>
      <c r="B91" t="s">
        <v>71</v>
      </c>
      <c r="C91">
        <v>75</v>
      </c>
      <c r="D91">
        <v>0</v>
      </c>
      <c r="E91">
        <v>0</v>
      </c>
      <c r="F91">
        <v>0</v>
      </c>
      <c r="G91">
        <v>0</v>
      </c>
      <c r="H91">
        <v>0.5</v>
      </c>
      <c r="I91">
        <v>0</v>
      </c>
    </row>
    <row r="92" spans="1:9" x14ac:dyDescent="0.25">
      <c r="A92" t="s">
        <v>98</v>
      </c>
      <c r="B92" t="s">
        <v>71</v>
      </c>
      <c r="C92">
        <v>75</v>
      </c>
      <c r="D92">
        <v>60</v>
      </c>
      <c r="E92">
        <v>-79</v>
      </c>
      <c r="F92">
        <v>90</v>
      </c>
      <c r="G92">
        <v>0</v>
      </c>
      <c r="H92">
        <v>0.5</v>
      </c>
      <c r="I92">
        <v>0</v>
      </c>
    </row>
  </sheetData>
  <sortState ref="A2:G92">
    <sortCondition ref="A2:A92"/>
  </sortState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3" name="Button 2">
              <controlPr defaultSize="0" print="0" autoFill="0" autoPict="0" macro="[0]!ExportActiveWorksheet">
                <anchor moveWithCells="1" sizeWithCells="1">
                  <from>
                    <xdr:col>0</xdr:col>
                    <xdr:colOff>381000</xdr:colOff>
                    <xdr:row>0</xdr:row>
                    <xdr:rowOff>95250</xdr:rowOff>
                  </from>
                  <to>
                    <xdr:col>0</xdr:col>
                    <xdr:colOff>1028700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I6"/>
  <sheetViews>
    <sheetView workbookViewId="0">
      <pane ySplit="1" topLeftCell="A2" activePane="bottomLeft" state="frozen"/>
      <selection pane="bottomLeft" activeCell="G5" sqref="G5"/>
    </sheetView>
  </sheetViews>
  <sheetFormatPr defaultRowHeight="15" x14ac:dyDescent="0.25"/>
  <cols>
    <col min="1" max="1" width="18.5703125" customWidth="1"/>
    <col min="9" max="9" width="15.28515625" customWidth="1"/>
  </cols>
  <sheetData>
    <row r="1" spans="1:9" s="1" customFormat="1" ht="22.5" customHeight="1" x14ac:dyDescent="0.25">
      <c r="A1" s="4" t="s">
        <v>75</v>
      </c>
      <c r="B1" s="4" t="s">
        <v>76</v>
      </c>
      <c r="C1" s="2" t="s">
        <v>77</v>
      </c>
      <c r="D1" s="2" t="s">
        <v>78</v>
      </c>
      <c r="E1" s="3" t="s">
        <v>79</v>
      </c>
      <c r="F1" s="2" t="s">
        <v>80</v>
      </c>
      <c r="G1" s="2" t="s">
        <v>81</v>
      </c>
      <c r="H1" s="2" t="s">
        <v>82</v>
      </c>
      <c r="I1" s="1" t="s">
        <v>95</v>
      </c>
    </row>
    <row r="2" spans="1:9" x14ac:dyDescent="0.25">
      <c r="A2" t="s">
        <v>94</v>
      </c>
      <c r="B2" t="s">
        <v>94</v>
      </c>
      <c r="C2">
        <v>30</v>
      </c>
      <c r="D2">
        <v>30</v>
      </c>
      <c r="E2">
        <v>800</v>
      </c>
      <c r="F2">
        <v>2</v>
      </c>
      <c r="G2">
        <v>0</v>
      </c>
      <c r="H2">
        <v>16.5</v>
      </c>
      <c r="I2">
        <v>52</v>
      </c>
    </row>
    <row r="3" spans="1:9" x14ac:dyDescent="0.25">
      <c r="A3" t="s">
        <v>90</v>
      </c>
      <c r="B3" t="s">
        <v>90</v>
      </c>
      <c r="C3">
        <v>30</v>
      </c>
      <c r="D3">
        <v>30</v>
      </c>
      <c r="E3">
        <v>1300</v>
      </c>
      <c r="F3">
        <v>1</v>
      </c>
      <c r="G3">
        <v>0</v>
      </c>
      <c r="H3">
        <v>16.5</v>
      </c>
      <c r="I3">
        <v>55</v>
      </c>
    </row>
    <row r="4" spans="1:9" x14ac:dyDescent="0.25">
      <c r="A4" t="s">
        <v>91</v>
      </c>
      <c r="B4" t="s">
        <v>91</v>
      </c>
      <c r="C4">
        <v>30</v>
      </c>
      <c r="D4">
        <v>30</v>
      </c>
      <c r="E4">
        <v>2000</v>
      </c>
      <c r="F4">
        <v>2.5</v>
      </c>
      <c r="G4">
        <v>0</v>
      </c>
      <c r="H4">
        <v>16.5</v>
      </c>
      <c r="I4">
        <v>71</v>
      </c>
    </row>
    <row r="5" spans="1:9" x14ac:dyDescent="0.25">
      <c r="A5" t="s">
        <v>92</v>
      </c>
      <c r="B5" t="s">
        <v>92</v>
      </c>
      <c r="C5">
        <v>30</v>
      </c>
      <c r="D5">
        <v>30</v>
      </c>
      <c r="E5">
        <v>3000</v>
      </c>
      <c r="F5">
        <v>3</v>
      </c>
      <c r="G5">
        <v>0</v>
      </c>
      <c r="H5">
        <v>16.5</v>
      </c>
      <c r="I5">
        <v>50</v>
      </c>
    </row>
    <row r="6" spans="1:9" x14ac:dyDescent="0.25">
      <c r="A6" t="s">
        <v>93</v>
      </c>
      <c r="B6" t="s">
        <v>93</v>
      </c>
      <c r="C6">
        <v>30</v>
      </c>
      <c r="D6">
        <v>30</v>
      </c>
      <c r="E6">
        <v>4000</v>
      </c>
      <c r="F6">
        <v>1.5</v>
      </c>
      <c r="G6">
        <v>0</v>
      </c>
      <c r="H6">
        <v>16.5</v>
      </c>
      <c r="I6">
        <v>32</v>
      </c>
    </row>
  </sheetData>
  <sortState ref="A2:I6">
    <sortCondition ref="A2:A6"/>
  </sortState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4" r:id="rId3" name="Button 2">
              <controlPr defaultSize="0" print="0" autoFill="0" autoPict="0" macro="[0]!ExportActiveWorksheet">
                <anchor moveWithCells="1" sizeWithCells="1">
                  <from>
                    <xdr:col>0</xdr:col>
                    <xdr:colOff>381000</xdr:colOff>
                    <xdr:row>0</xdr:row>
                    <xdr:rowOff>95250</xdr:rowOff>
                  </from>
                  <to>
                    <xdr:col>0</xdr:col>
                    <xdr:colOff>1028700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L6"/>
  <sheetViews>
    <sheetView workbookViewId="0">
      <pane ySplit="1" topLeftCell="A2" activePane="bottomLeft" state="frozen"/>
      <selection pane="bottomLeft" activeCell="E6" sqref="E6"/>
    </sheetView>
  </sheetViews>
  <sheetFormatPr defaultRowHeight="15" x14ac:dyDescent="0.25"/>
  <cols>
    <col min="1" max="1" width="17" customWidth="1"/>
    <col min="2" max="2" width="13.28515625" customWidth="1"/>
  </cols>
  <sheetData>
    <row r="1" spans="1:12" s="1" customFormat="1" ht="33" customHeight="1" x14ac:dyDescent="0.25">
      <c r="A1" s="4" t="s">
        <v>75</v>
      </c>
      <c r="B1" s="4" t="s">
        <v>76</v>
      </c>
      <c r="C1" s="2" t="s">
        <v>77</v>
      </c>
      <c r="D1" s="2" t="s">
        <v>78</v>
      </c>
      <c r="E1" s="2" t="s">
        <v>102</v>
      </c>
      <c r="F1" s="2" t="s">
        <v>102</v>
      </c>
      <c r="G1" s="2" t="s">
        <v>102</v>
      </c>
      <c r="H1" s="2" t="s">
        <v>102</v>
      </c>
      <c r="I1" s="3" t="s">
        <v>101</v>
      </c>
      <c r="J1" s="2"/>
      <c r="K1" s="2"/>
      <c r="L1" s="2"/>
    </row>
    <row r="2" spans="1:12" x14ac:dyDescent="0.25">
      <c r="A2" t="s">
        <v>96</v>
      </c>
      <c r="B2" t="s">
        <v>96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50</v>
      </c>
    </row>
    <row r="3" spans="1:12" x14ac:dyDescent="0.25">
      <c r="A3" t="s">
        <v>97</v>
      </c>
      <c r="B3" t="s">
        <v>97</v>
      </c>
      <c r="C3">
        <v>0</v>
      </c>
      <c r="D3">
        <v>0</v>
      </c>
      <c r="E3">
        <v>0</v>
      </c>
      <c r="F3">
        <v>0</v>
      </c>
      <c r="G3">
        <v>0</v>
      </c>
      <c r="H3">
        <v>0</v>
      </c>
      <c r="I3">
        <v>30</v>
      </c>
    </row>
    <row r="4" spans="1:12" x14ac:dyDescent="0.25">
      <c r="A4" t="s">
        <v>98</v>
      </c>
      <c r="B4" t="s">
        <v>98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>
        <v>33</v>
      </c>
    </row>
    <row r="5" spans="1:12" x14ac:dyDescent="0.25">
      <c r="A5" t="s">
        <v>99</v>
      </c>
      <c r="B5" t="s">
        <v>99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50</v>
      </c>
    </row>
    <row r="6" spans="1:12" x14ac:dyDescent="0.25">
      <c r="A6" t="s">
        <v>100</v>
      </c>
      <c r="B6" t="s">
        <v>100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36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ExportActiveWorksheet">
                <anchor moveWithCells="1" sizeWithCells="1">
                  <from>
                    <xdr:col>0</xdr:col>
                    <xdr:colOff>381000</xdr:colOff>
                    <xdr:row>0</xdr:row>
                    <xdr:rowOff>95250</xdr:rowOff>
                  </from>
                  <to>
                    <xdr:col>0</xdr:col>
                    <xdr:colOff>1028700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planesAndAmmo</vt:lpstr>
      <vt:lpstr>weapons</vt:lpstr>
      <vt:lpstr>hulls</vt:lpstr>
      <vt:lpstr>turrets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Kai</dc:creator>
  <cp:lastModifiedBy>Kai</cp:lastModifiedBy>
  <dcterms:created xsi:type="dcterms:W3CDTF">2014-09-16T21:49:19Z</dcterms:created>
  <dcterms:modified xsi:type="dcterms:W3CDTF">2014-09-21T01:59:01Z</dcterms:modified>
</cp:coreProperties>
</file>